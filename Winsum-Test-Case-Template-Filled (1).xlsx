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D1EB09E-E01D-4677-91EF-DF3AC74C79DB}" xr6:coauthVersionLast="47" xr6:coauthVersionMax="47" xr10:uidLastSave="{00000000-0000-0000-0000-000000000000}"/>
  <bookViews>
    <workbookView xWindow="-120" yWindow="-120" windowWidth="29040" windowHeight="15720" firstSheet="0" activeTab="1" xr2:uid="{00000000-000D-0000-FFFF-FFFF00000000}"/>
  </bookViews>
  <sheets>
    <sheet name="Cover" sheetId="1" r:id="rId1"/>
    <sheet name="Tổng hợp" sheetId="2" r:id="rId2"/>
    <sheet name="Module A - Storefront" sheetId="3" r:id="rId3"/>
    <sheet name="Module B - Giỏ &amp; Coupon" sheetId="4" r:id="rId4"/>
    <sheet name="Module C - Checkout" sheetId="5" r:id="rId5"/>
    <sheet name="Module D - Auth khách" sheetId="6" r:id="rId6"/>
    <sheet name="Module E - Đơn khách" sheetId="7" r:id="rId7"/>
    <sheet name="Module F - Đánh giá SP" sheetId="8" r:id="rId8"/>
    <sheet name="Module G - Blog" sheetId="9" r:id="rId9"/>
    <sheet name="Module H - Admin Dashboard" sheetId="10" r:id="rId10"/>
    <sheet name="Module I - Admin SP &amp; Kho" sheetId="11" r:id="rId11"/>
    <sheet name="Module J - Admin Đơn" sheetId="12" r:id="rId12"/>
    <sheet name="Module K - Admin KH &amp; Hoàn" sheetId="13" r:id="rId13"/>
    <sheet name="Module L - Bảo mật" sheetId="14" r:id="rId14"/>
    <sheet name="Module M - Giao diện" sheetId="15" r:id="rId15"/>
    <sheet name="Module N - E2E Hoàn hàng" sheetId="16" r:id="rId16"/>
  </sheets>
  <definedNames>
    <definedName name="_xlnm._FilterDatabase" localSheetId="1" hidden="1">'Import File'!$A$8:$I$16</definedName>
    <definedName name="Category" localSheetId="1">#REF!</definedName>
    <definedName name="Categor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Yaq9HsrTCg9RdaIqHdJahzqk0LSGV/1GFzdawCo9p2s="/>
    </ext>
  </extLst>
</workbook>
</file>

<file path=xl/sharedStrings.xml><?xml version="1.0" encoding="utf-8"?>
<sst xmlns="http://schemas.openxmlformats.org/spreadsheetml/2006/main" count="894" uniqueCount="894">
  <si>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</si>
  <si>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</si>
  <si>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</si>
  <si>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</si>
  <si>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</si>
  <si>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</si>
  <si>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</si>
  <si>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</si>
  <si>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</si>
  <si>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Change Date</t>
  </si>
  <si>
    <t>Change Item</t>
  </si>
  <si>
    <t>Change description</t>
  </si>
  <si>
    <t>ID Name</t>
  </si>
  <si>
    <t>Note</t>
  </si>
  <si>
    <t>Pass</t>
  </si>
  <si>
    <t>Fail</t>
  </si>
  <si>
    <t>NT</t>
  </si>
  <si>
    <t>N/A</t>
  </si>
  <si>
    <t>%</t>
  </si>
  <si>
    <t>Item Test</t>
  </si>
  <si>
    <t>Test requirement</t>
  </si>
  <si>
    <t xml:space="preserve">Ensure that all features listed below work properly without any errors when using the below browsers.
- Edge in latest version 
- Google Chrome in latest version </t>
  </si>
  <si>
    <t>Tester</t>
  </si>
  <si>
    <t>Number of Test cases</t>
  </si>
  <si>
    <t>ID</t>
  </si>
  <si>
    <t>Test Case Description</t>
  </si>
  <si>
    <t>Pre-condition</t>
  </si>
  <si>
    <t>Test Case Procedure</t>
  </si>
  <si>
    <t>Expected Output</t>
  </si>
  <si>
    <t>Result</t>
  </si>
  <si>
    <t>Test date</t>
  </si>
  <si>
    <t>Shop web Winsum Testing</t>
  </si>
  <si>
    <t>Nhóm phát triển đồ án</t>
  </si>
  <si>
    <t>1. Module A: Storefront — Duyệt &amp; tìm kiếm</t>
  </si>
  <si>
    <t>Hiển thị trang chủ</t>
  </si>
  <si>
    <t>Hệ thống Winsum Home đang chạy tại http://localhost/winsumweb</t>
  </si>
  <si>
    <t>1. Mở http://localhost/winsumweb/index.php hoặc ?view=home</t>
  </si>
  <si>
    <t>Banner, danh mục, sản phẩm bán chạy, tin tức hiển thị đầy đủ</t>
  </si>
  <si>
    <t>TC-A01</t>
  </si>
  <si>
    <t>Điều hướng menu</t>
  </si>
  <si>
    <t>Hệ thống Winsum Home đang chạy tại http://localhost/winsumweb</t>
  </si>
  <si>
    <t>1. Click Sản phẩm, Tin tức, Giỏ hàng trên header</t>
  </si>
  <si>
    <t>Chuyển đúng trang tương ứng, URL view= khớp</t>
  </si>
  <si>
    <t>TC-A02</t>
  </si>
  <si>
    <t>Danh mục sản phẩm</t>
  </si>
  <si>
    <t>Hệ thống Winsum Home đang chạy tại http://localhost/winsumweb</t>
  </si>
  <si>
    <t>1. Mở ?view=catalog</t>
  </si>
  <si>
    <t>Grid sản phẩm, ảnh, giá, nút thêm giỏ</t>
  </si>
  <si>
    <t>TC-A03</t>
  </si>
  <si>
    <t>Lọc theo danh mục</t>
  </si>
  <si>
    <t>Hệ thống Winsum Home đang chạy tại http://localhost/winsumweb</t>
  </si>
  <si>
    <t>1. Chọn category trên catalog</t>
  </si>
  <si>
    <t>Chỉ hiển thị SP thuộc danh mục đã chọn</t>
  </si>
  <si>
    <t>TC-A04</t>
  </si>
  <si>
    <t>Lọc theo khoảng giá</t>
  </si>
  <si>
    <t>Hệ thống Winsum Home đang chạy tại http://localhost/winsumweb</t>
  </si>
  <si>
    <t>1. Chọn min/max price trên catalog</t>
  </si>
  <si>
    <t>Danh sách lọc đúng khoảng giá</t>
  </si>
  <si>
    <t>TC-A05</t>
  </si>
  <si>
    <t>Phân trang catalog</t>
  </si>
  <si>
    <t>Hệ thống Winsum Home đang chạy tại http://localhost/winsumweb</t>
  </si>
  <si>
    <t>1. Chuyển trang 2, 3 trên catalog</t>
  </si>
  <si>
    <t>URL page= đúng, danh sách SP thay đổi</t>
  </si>
  <si>
    <t>TC-A06</t>
  </si>
  <si>
    <t>Tìm kiếm site-wide</t>
  </si>
  <si>
    <t>Hệ thống Winsum Home đang chạy tại http://localhost/winsumweb</t>
  </si>
  <si>
    <t>1. Gõ từ khóa trên ô search header</t>
  </si>
  <si>
    <t>Gợi ý/kết quả SP liên quan</t>
  </si>
  <si>
    <t>TC-A07</t>
  </si>
  <si>
    <t>Chi tiết sản phẩm</t>
  </si>
  <si>
    <t>Hệ thống Winsum Home đang chạy tại http://localhost/winsumweb</t>
  </si>
  <si>
    <t>1. Mở ?view=product&amp;slug=...</t>
  </si>
  <si>
    <t>Ảnh gallery, giá, mô tả, tab đánh giá</t>
  </si>
  <si>
    <t>TC-A08</t>
  </si>
  <si>
    <t>URL slug không tồn tại</t>
  </si>
  <si>
    <t>Hệ thống Winsum Home đang chạy tại http://localhost/winsumweb</t>
  </si>
  <si>
    <t>1. Mở ?view=product&amp;slug=khong-ton-tai</t>
  </si>
  <si>
    <t>Thông báo không tìm thấy / redirect hợp lý</t>
  </si>
  <si>
    <t>TC-A09</t>
  </si>
  <si>
    <t>View không hợp lệ</t>
  </si>
  <si>
    <t>Hệ thống Winsum Home đang chạy tại http://localhost/winsumweb</t>
  </si>
  <si>
    <t>1. Mở ?view=xyz123</t>
  </si>
  <si>
    <t>Fallback về trang chủ (404 logic)</t>
  </si>
  <si>
    <t>TC-A10</t>
  </si>
  <si>
    <t>2. Module B: Giỏ hàng &amp; mã giảm giá</t>
  </si>
  <si>
    <t>Thêm SP từ catalog</t>
  </si>
  <si>
    <t>Có sản phẩm còn hàng trong giỏ hoặc catalog</t>
  </si>
  <si>
    <t>1. POST add_to_cart từ catalog</t>
  </si>
  <si>
    <t>Toast thành công, giỏ +1 dòng</t>
  </si>
  <si>
    <t>TC-B01</t>
  </si>
  <si>
    <t>Thêm SP từ trang chi tiết</t>
  </si>
  <si>
    <t>Có sản phẩm còn hàng trong giỏ hoặc catalog</t>
  </si>
  <si>
    <t>1. Chọn SL, bấm thêm giỏ</t>
  </si>
  <si>
    <t>Giỏ cập nhật đúng SL và tổng tiền</t>
  </si>
  <si>
    <t>TC-B02</t>
  </si>
  <si>
    <t>Thêm SP hết hàng</t>
  </si>
  <si>
    <t>Có sản phẩm còn hàng trong giỏ hoặc catalog</t>
  </si>
  <si>
    <t>1. Thêm SP stock_status = out_of_stock</t>
  </si>
  <si>
    <t>Báo lỗi, không thêm vào giỏ</t>
  </si>
  <si>
    <t>TC-B03</t>
  </si>
  <si>
    <t>Cập nhật số lượng</t>
  </si>
  <si>
    <t>Có sản phẩm còn hàng trong giỏ hoặc catalog</t>
  </si>
  <si>
    <t>1. Sửa qty trên trang cart, submit</t>
  </si>
  <si>
    <t>Tổng tiền tính lại đúng</t>
  </si>
  <si>
    <t>TC-B04</t>
  </si>
  <si>
    <t>Xóa dòng giỏ</t>
  </si>
  <si>
    <t>Có sản phẩm còn hàng trong giỏ hoặc catalog</t>
  </si>
  <si>
    <t>1. Bấm xóa item trên cart</t>
  </si>
  <si>
    <t>Dòng biến mất, tổng cập nhật</t>
  </si>
  <si>
    <t>TC-B05</t>
  </si>
  <si>
    <t>Áp mã WINSUMXINCHAO</t>
  </si>
  <si>
    <t>Có sản phẩm còn hàng trong giỏ hoặc catalog</t>
  </si>
  <si>
    <t>1. Nhập mã hợp lệ trên cart</t>
  </si>
  <si>
    <t>Giảm 40.000đ, hiển thị discount</t>
  </si>
  <si>
    <t>TC-B06</t>
  </si>
  <si>
    <t>Mã giảm giá sai</t>
  </si>
  <si>
    <t>Có sản phẩm còn hàng trong giỏ hoặc catalog</t>
  </si>
  <si>
    <t>1. Nhập MASAI trên cart</t>
  </si>
  <si>
    <t>Thông báo mã không hợp lệ</t>
  </si>
  <si>
    <t>TC-B07</t>
  </si>
  <si>
    <t>Xóa mã giảm giá</t>
  </si>
  <si>
    <t>Có sản phẩm còn hàng trong giỏ hoặc catalog</t>
  </si>
  <si>
    <t>1. Submit coupon_code rỗng</t>
  </si>
  <si>
    <t>Discount = 0</t>
  </si>
  <si>
    <t>TC-B08</t>
  </si>
  <si>
    <t>Admin không thêm giỏ</t>
  </si>
  <si>
    <t>Có sản phẩm còn hàng trong giỏ hoặc catalog</t>
  </si>
  <si>
    <t>1. Đăng nhập admin, thêm SP</t>
  </si>
  <si>
    <t>Báo tài khoản QTV không mua được</t>
  </si>
  <si>
    <t>TC-B09</t>
  </si>
  <si>
    <t>Đồng bộ giá từ DB</t>
  </si>
  <si>
    <t>Có sản phẩm còn hàng trong giỏ hoặc catalog</t>
  </si>
  <si>
    <t>1. Đổi giá SP trên admin, mở lại cart/checkout</t>
  </si>
  <si>
    <t>Giá giỏ đồng bộ khi sync/checkout</t>
  </si>
  <si>
    <t>TC-B10</t>
  </si>
  <si>
    <t>Đăng xuất xóa giỏ hàng</t>
  </si>
  <si>
    <t>Có sản phẩm còn hàng trong giỏ hoặc catalog</t>
  </si>
  <si>
    <t>1. Khách thêm SP vào giỏ rồi đăng xuất</t>
  </si>
  <si>
    <t>Session giỏ hàng và coupon bị xóa</t>
  </si>
  <si>
    <t>TC-B11</t>
  </si>
  <si>
    <t>Hoàn lượt coupon khi hủy</t>
  </si>
  <si>
    <t>Có sản phẩm còn hàng trong giỏ hoặc catalog</t>
  </si>
  <si>
    <t>1. Đặt đơn có mã, hủy đơn pending</t>
  </si>
  <si>
    <t>Dùng lại mã thành công (đơn hủy không tính lượt)</t>
  </si>
  <si>
    <t>TC-B12</t>
  </si>
  <si>
    <t>3. Module C: Thanh toán (Checkout)</t>
  </si>
  <si>
    <t>Giỏ trống vào checkout</t>
  </si>
  <si>
    <t>Có sản phẩm còn hàng trong giỏ hoặc catalog</t>
  </si>
  <si>
    <t>1. Mở checkout khi giỏ rỗng</t>
  </si>
  <si>
    <t>Không cho đặt / báo giỏ trống</t>
  </si>
  <si>
    <t>TC-C01</t>
  </si>
  <si>
    <t>Form checkout guest</t>
  </si>
  <si>
    <t>Có sản phẩm còn hàng trong giỏ hoặc catalog</t>
  </si>
  <si>
    <t>1. Điền họ tên, SĐT, email, tỉnh/thành phố, phường/xã, địa chỉ cụ thể</t>
  </si>
  <si>
    <t>Validate đủ trường bắt buộc</t>
  </si>
  <si>
    <t>TC-C02</t>
  </si>
  <si>
    <t>Thiếu thông tin bắt buộc</t>
  </si>
  <si>
    <t>Có sản phẩm còn hàng trong giỏ hoặc catalog</t>
  </si>
  <si>
    <t>1. Bỏ trống SĐT hoặc địa chỉ, submit</t>
  </si>
  <si>
    <t>Báo "Vui lòng điền đầy đủ"</t>
  </si>
  <si>
    <t>TC-C03</t>
  </si>
  <si>
    <t>Chọn vận chuyển</t>
  </si>
  <si>
    <t>Có sản phẩm còn hàng trong giỏ hoặc catalog</t>
  </si>
  <si>
    <t>1. Chọn phương thức shipping</t>
  </si>
  <si>
    <t>Phí ship cộng vào tổng</t>
  </si>
  <si>
    <t>TC-C04</t>
  </si>
  <si>
    <t>Chọn thanh toán</t>
  </si>
  <si>
    <t>Có sản phẩm còn hàng trong giỏ hoặc catalog</t>
  </si>
  <si>
    <t>1. Chọn COD hoặc Chuyển khoản VietQR</t>
  </si>
  <si>
    <t>Lưu payment_method_id và hiển thị đúng phương thức</t>
  </si>
  <si>
    <t>TC-C05</t>
  </si>
  <si>
    <t>Đặt hàng thành công</t>
  </si>
  <si>
    <t>Có sản phẩm còn hàng trong giỏ hoặc catalog</t>
  </si>
  <si>
    <t>1. Submit checkout_submit hợp lệ</t>
  </si>
  <si>
    <t>Mã đơn WS..., giỏ xóa, thông báo thành công</t>
  </si>
  <si>
    <t>TC-C06</t>
  </si>
  <si>
    <t>Checkout có mã giảm giá</t>
  </si>
  <si>
    <t>Có sản phẩm còn hàng trong giỏ hoặc catalog</t>
  </si>
  <si>
    <t>1. Áp coupon trước khi đặt</t>
  </si>
  <si>
    <t>discount_amount ghi vào đơn</t>
  </si>
  <si>
    <t>TC-C07</t>
  </si>
  <si>
    <t>Checkout đã đăng nhập</t>
  </si>
  <si>
    <t>Có sản phẩm còn hàng trong giỏ hoặc catalog</t>
  </si>
  <si>
    <t>1. Customer login rồi đặt</t>
  </si>
  <si>
    <t>orders.customer_id gắn đúng</t>
  </si>
  <si>
    <t>TC-C08</t>
  </si>
  <si>
    <t>Trừ tồn kho</t>
  </si>
  <si>
    <t>Có sản phẩm còn hàng trong giỏ hoặc catalog</t>
  </si>
  <si>
    <t>1. Đặt SP còn hàng</t>
  </si>
  <si>
    <t>stock giảm / alert nếu hết</t>
  </si>
  <si>
    <t>TC-C09</t>
  </si>
  <si>
    <t>Admin không checkout</t>
  </si>
  <si>
    <t>Có sản phẩm còn hàng trong giỏ hoặc catalog</t>
  </si>
  <si>
    <t>1. Admin session thử đặt</t>
  </si>
  <si>
    <t>Từ chối đặt hàng</t>
  </si>
  <si>
    <t>TC-C10</t>
  </si>
  <si>
    <t>Ràng buộc SĐT</t>
  </si>
  <si>
    <t>Có sản phẩm còn hàng trong giỏ hoặc catalog</t>
  </si>
  <si>
    <t>1. Nhập SĐT không đủ 10 số hoặc không bắt đầu bằng 0</t>
  </si>
  <si>
    <t>Không cho đặt hàng, hiển thị lỗi rõ ràng</t>
  </si>
  <si>
    <t>TC-C11</t>
  </si>
  <si>
    <t>VietQR demo</t>
  </si>
  <si>
    <t>Có sản phẩm còn hàng trong giỏ hoặc catalog</t>
  </si>
  <si>
    <t>1. Chọn VietQR, đặt hàng, bấm Tôi đã thanh toán</t>
  </si>
  <si>
    <t>payment_status = paid, chuyển trang đơn/tra cứu</t>
  </si>
  <si>
    <t>TC-C12</t>
  </si>
  <si>
    <t>VietQR đơn đã hủy</t>
  </si>
  <si>
    <t>Có sản phẩm còn hàng trong giỏ hoặc catalog</t>
  </si>
  <si>
    <t>1. Xác nhận VietQR cho đơn cancelled/returned</t>
  </si>
  <si>
    <t>Hệ thống từ chối xác nhận thanh toán</t>
  </si>
  <si>
    <t>TC-C13</t>
  </si>
  <si>
    <t>Validate coupon theo SĐT checkout</t>
  </si>
  <si>
    <t>Có sản phẩm còn hàng trong giỏ hoặc catalog</t>
  </si>
  <si>
    <t>1. Guest áp mã, nhập SĐT đã hết lượt ở checkout</t>
  </si>
  <si>
    <t>Không cho đặt hoặc xóa coupon và báo lỗi</t>
  </si>
  <si>
    <t>TC-C14</t>
  </si>
  <si>
    <t>4. Module D: Xác thực khách hàng</t>
  </si>
  <si>
    <t>Đăng ký tài khoản</t>
  </si>
  <si>
    <t>Đã có tài khoản khách hàng và/hoặc đơn hàng mẫu trong hệ thống</t>
  </si>
  <si>
    <t>1. Popup đăng ký, điền form hợp lệ</t>
  </si>
  <si>
    <t>Tạo customer, login session</t>
  </si>
  <si>
    <t>TC-D01</t>
  </si>
  <si>
    <t>Đăng ký trùng SĐT/email</t>
  </si>
  <si>
    <t>Đã có tài khoản khách hàng và/hoặc đơn hàng mẫu trong hệ thống</t>
  </si>
  <si>
    <t>1. Dùng SĐT đã có</t>
  </si>
  <si>
    <t>Báo lỗi trùng</t>
  </si>
  <si>
    <t>TC-D02</t>
  </si>
  <si>
    <t>Đăng nhập đúng</t>
  </si>
  <si>
    <t>Đã có tài khoản khách hàng và/hoặc đơn hàng mẫu trong hệ thống</t>
  </si>
  <si>
    <t>1. Email/SĐT + mật khẩu đúng</t>
  </si>
  <si>
    <t>Session customer, redirect OK</t>
  </si>
  <si>
    <t>TC-D03</t>
  </si>
  <si>
    <t>Đăng nhập sai</t>
  </si>
  <si>
    <t>Đã có tài khoản khách hàng và/hoặc đơn hàng mẫu trong hệ thống</t>
  </si>
  <si>
    <t>1. Mật khẩu sai</t>
  </si>
  <si>
    <t>Báo lỗi, không login</t>
  </si>
  <si>
    <t>TC-D04</t>
  </si>
  <si>
    <t>Đăng xuất</t>
  </si>
  <si>
    <t>Đã có tài khoản khách hàng và/hoặc đơn hàng mẫu trong hệ thống</t>
  </si>
  <si>
    <t>1. Logout từ account</t>
  </si>
  <si>
    <t>Session xóa, về home</t>
  </si>
  <si>
    <t>TC-D05</t>
  </si>
  <si>
    <t>Cập nhật hồ sơ</t>
  </si>
  <si>
    <t>Đã có tài khoản khách hàng và/hoặc đơn hàng mẫu trong hệ thống</t>
  </si>
  <si>
    <t>1. Sửa tên, SĐT, email</t>
  </si>
  <si>
    <t>DB cập nhật</t>
  </si>
  <si>
    <t>TC-D06</t>
  </si>
  <si>
    <t>Đổi mật khẩu</t>
  </si>
  <si>
    <t>Đã có tài khoản khách hàng và/hoặc đơn hàng mẫu trong hệ thống</t>
  </si>
  <si>
    <t>1. Nhập new_password hợp lệ</t>
  </si>
  <si>
    <t>Hash mới lưu DB</t>
  </si>
  <si>
    <t>TC-D07</t>
  </si>
  <si>
    <t>Guest đăng ký cùng SĐT đơn cũ</t>
  </si>
  <si>
    <t>Đã có tài khoản khách hàng và/hoặc đơn hàng mẫu trong hệ thống</t>
  </si>
  <si>
    <t>1. Đặt guest rồi đăng ký cùng phone</t>
  </si>
  <si>
    <t>Đơn cũ gắn customer_id</t>
  </si>
  <si>
    <t>TC-D08</t>
  </si>
  <si>
    <t>Đăng xuất xóa giỏ</t>
  </si>
  <si>
    <t>Đã có tài khoản khách hàng và/hoặc đơn hàng mẫu trong hệ thống</t>
  </si>
  <si>
    <t>1. Đăng nhập khách, thêm hàng, đăng xuất</t>
  </si>
  <si>
    <t>Giỏ hàng cũ không còn sau logout</t>
  </si>
  <si>
    <t>TC-D09</t>
  </si>
  <si>
    <t>Khóa khách &amp; rate limit login</t>
  </si>
  <si>
    <t>Đã có tài khoản khách hàng và/hoặc đơn hàng mẫu trong hệ thống</t>
  </si>
  <si>
    <t>1. Admin khóa khách đang login; nhập sai MK 5 lần</t>
  </si>
  <si>
    <t>Session khách bị xóa; đăng nhập chặn 15 phút</t>
  </si>
  <si>
    <t>TC-D10</t>
  </si>
  <si>
    <t>5. Module E: Đơn hàng khách hàng</t>
  </si>
  <si>
    <t>Danh sách đơn</t>
  </si>
  <si>
    <t>Đã có tài khoản khách hàng và/hoặc đơn hàng mẫu trong hệ thống</t>
  </si>
  <si>
    <t>1. Login khách, mở ?view=orders</t>
  </si>
  <si>
    <t>Liệt kê đơn của user, phân trang nếu có</t>
  </si>
  <si>
    <t>TC-E01</t>
  </si>
  <si>
    <t>Chi tiết đơn</t>
  </si>
  <si>
    <t>Đã có tài khoản khách hàng và/hoặc đơn hàng mẫu trong hệ thống</t>
  </si>
  <si>
    <t>1. Click mã đơn trên danh sách</t>
  </si>
  <si>
    <t>Items, tổng tiền, trạng thái, thanh toán</t>
  </si>
  <si>
    <t>TC-E02</t>
  </si>
  <si>
    <t>Hủy đơn pending</t>
  </si>
  <si>
    <t>Đã có tài khoản khách hàng và/hoặc đơn hàng mẫu trong hệ thống</t>
  </si>
  <si>
    <t>1. Cancel trên order-detail đơn pending</t>
  </si>
  <si>
    <t>status = cancelled, hoàn kho</t>
  </si>
  <si>
    <t>TC-E03</t>
  </si>
  <si>
    <t>Không hủy đơn đã giao</t>
  </si>
  <si>
    <t>Đã có tài khoản khách hàng và/hoặc đơn hàng mẫu trong hệ thống</t>
  </si>
  <si>
    <t>1. Thử hủy delivered</t>
  </si>
  <si>
    <t>Từ chối / báo lỗi</t>
  </si>
  <si>
    <t>TC-E04</t>
  </si>
  <si>
    <t>Guest không xem orders</t>
  </si>
  <si>
    <t>Đã có tài khoản khách hàng và/hoặc đơn hàng mẫu trong hệ thống</t>
  </si>
  <si>
    <t>1. Chưa login mở ?view=orders</t>
  </si>
  <si>
    <t>Yêu cầu đăng nhập</t>
  </si>
  <si>
    <t>TC-E05</t>
  </si>
  <si>
    <t>Chỉ xem đơn của mình</t>
  </si>
  <si>
    <t>Đã có tài khoản khách hàng và/hoặc đơn hàng mẫu trong hệ thống</t>
  </si>
  <si>
    <t>1. User A mở đơn user B (URL code)</t>
  </si>
  <si>
    <t>Từ chối truy cập</t>
  </si>
  <si>
    <t>TC-E06</t>
  </si>
  <si>
    <t>Tra cứu đơn guest</t>
  </si>
  <si>
    <t>Đã có tài khoản khách hàng và/hoặc đơn hàng mẫu trong hệ thống</t>
  </si>
  <si>
    <t>1. Nhập mã đơn + SĐT tại ?view=order-lookup</t>
  </si>
  <si>
    <t>Hiển thị chi tiết đơn không cần đăng nhập</t>
  </si>
  <si>
    <t>TC-E07</t>
  </si>
  <si>
    <t>Guest hủy đơn pending</t>
  </si>
  <si>
    <t>Đã có tài khoản khách hàng và/hoặc đơn hàng mẫu trong hệ thống</t>
  </si>
  <si>
    <t>1. Tra cứu đơn guest rồi bấm hủy</t>
  </si>
  <si>
    <t>Đơn pending → cancelled và hoàn kho</t>
  </si>
  <si>
    <t>TC-E08</t>
  </si>
  <si>
    <t>Không hủy đơn đang giao</t>
  </si>
  <si>
    <t>Đã có tài khoản khách hàng và/hoặc đơn hàng mẫu trong hệ thống</t>
  </si>
  <si>
    <t>1. Đơn fulfillment_status = shipped, khách bấm hủy</t>
  </si>
  <si>
    <t>Hệ thống từ chối hủy đơn</t>
  </si>
  <si>
    <t>TC-E09</t>
  </si>
  <si>
    <t>Đồng bộ trạng thái đơn/vận chuyển</t>
  </si>
  <si>
    <t>Đã có tài khoản khách hàng và/hoặc đơn hàng mẫu trong hệ thống</t>
  </si>
  <si>
    <t>1. Admin đổi giao hàng shipped/delivered/cancelled</t>
  </si>
  <si>
    <t>status và fulfillment_status đồng bộ</t>
  </si>
  <si>
    <t>TC-E10</t>
  </si>
  <si>
    <t>CTA hoàn hàng trên chi tiết đơn</t>
  </si>
  <si>
    <t>Đã có tài khoản khách hàng và/hoặc đơn hàng mẫu trong hệ thống</t>
  </si>
  <si>
    <t>1. Login, mở đơn delivered trong 7 ngày. 2. Kiểm tra nút/link hoàn hàng</t>
  </si>
  <si>
    <t>Hiển thị link «Yêu cầu hoàn hàng / Trả tiền» dẫn tới ?view=order-return&amp;code=...</t>
  </si>
  <si>
    <t>TC-E11</t>
  </si>
  <si>
    <t>Hết hạn hoàn hàng</t>
  </si>
  <si>
    <t>Đã có tài khoản khách hàng và/hoặc đơn hàng mẫu trong hệ thống</t>
  </si>
  <si>
    <t>1. Mở đơn delivered_at &gt; 7 ngày</t>
  </si>
  <si>
    <t>Không hiển thị CTA hoàn hàng; order-return báo hết hạn</t>
  </si>
  <si>
    <t>TC-E12</t>
  </si>
  <si>
    <t>Trang hoàn hàng riêng</t>
  </si>
  <si>
    <t>Đã có tài khoản khách hàng và/hoặc đơn hàng mẫu trong hệ thống</t>
  </si>
  <si>
    <t>1. Từ order-detail bấm CTA hoàn hàng</t>
  </si>
  <si>
    <t>Mở trang ?view=order-return&amp;code=..., breadcrumb và tiêu đề đúng</t>
  </si>
  <si>
    <t>TC-E13</t>
  </si>
  <si>
    <t>Gửi yêu cầu hoàn đầy đủ</t>
  </si>
  <si>
    <t>Đã có tài khoản khách hàng và/hoặc đơn hàng mẫu trong hệ thống</t>
  </si>
  <si>
    <t>1. Điền lý do, STK ngân hàng, tên TK, ngân hàng, upload ảnh. 2. Submit</t>
  </si>
  <si>
    <t>Tạo order_return_requests status=pending; đơn → return_pending; chưa hoàn tiền</t>
  </si>
  <si>
    <t>TC-E14</t>
  </si>
  <si>
    <t>Thiếu ảnh bằng chứng</t>
  </si>
  <si>
    <t>Đã có tài khoản khách hàng và/hoặc đơn hàng mẫu trong hệ thống</t>
  </si>
  <si>
    <t>1. Submit form hoàn không chọn file ảnh</t>
  </si>
  <si>
    <t>Báo lỗi bắt buộc ảnh; không tạo request</t>
  </si>
  <si>
    <t>TC-E15</t>
  </si>
  <si>
    <t>Thiếu thông tin ngân hàng</t>
  </si>
  <si>
    <t>Đã có tài khoản khách hàng và/hoặc đơn hàng mẫu trong hệ thống</t>
  </si>
  <si>
    <t>1. Bỏ trống STK hoặc tên TK hoặc tên ngân hàng</t>
  </si>
  <si>
    <t>Báo lỗi validate; không tạo request</t>
  </si>
  <si>
    <t>TC-E16</t>
  </si>
  <si>
    <t>Không gửi yêu cầu trùng</t>
  </si>
  <si>
    <t>Đã có tài khoản khách hàng và/hoặc đơn hàng mẫu trong hệ thống</t>
  </si>
  <si>
    <t>1. Đơn đang return_pending/accepted/received, thử mở form hoàn lại</t>
  </si>
  <si>
    <t>Ẩn form / báo đang xử lý; không tạo request thứ hai</t>
  </si>
  <si>
    <t>TC-E17</t>
  </si>
  <si>
    <t>Không hủy đơn khi đang hoàn</t>
  </si>
  <si>
    <t>Đã có tài khoản khách hàng và/hoặc đơn hàng mẫu trong hệ thống</t>
  </si>
  <si>
    <t>1. Đơn return_pending, khách bấm hủy</t>
  </si>
  <si>
    <t>Từ chối hủy; giữ nguyên luồng hoàn</t>
  </si>
  <si>
    <t>TC-E18</t>
  </si>
  <si>
    <t>Tiến độ hoàn trên order-detail</t>
  </si>
  <si>
    <t>Đã có tài khoản khách hàng và/hoặc đơn hàng mẫu trong hệ thống</t>
  </si>
  <si>
    <t>1. Sau mỗi giai đoạn (pending→accepted→received→returned) mở order-detail</t>
  </si>
  <si>
    <t>Hiển thị đúng nhãn: chờ duyệt / chờ trả hàng / đã nhận hàng chờ hoàn tiền / hoàn thành</t>
  </si>
  <si>
    <t>TC-E19</t>
  </si>
  <si>
    <t>Hướng dẫn trả hàng sau duyệt</t>
  </si>
  <si>
    <t>Đã có tài khoản khách hàng và/hoặc đơn hàng mẫu trong hệ thống</t>
  </si>
  <si>
    <t>1. Admin accept yêu cầu hoàn. 2. Khách xem order-detail</t>
  </si>
  <si>
    <t>Hiển thị địa chỉ kho nhận hàng hoàn và hướng dẫn gửi lại</t>
  </si>
  <si>
    <t>TC-E20</t>
  </si>
  <si>
    <t>Đơn bị từ chối hoàn</t>
  </si>
  <si>
    <t>Đã có tài khoản khách hàng và/hoặc đơn hàng mẫu trong hệ thống</t>
  </si>
  <si>
    <t>1. Admin reject yêu cầu hoàn. 2. Khách xem order-detail</t>
  </si>
  <si>
    <t>Đơn về delivered; có thể gửi yêu cầu mới nếu còn hạn</t>
  </si>
  <si>
    <t>TC-E21</t>
  </si>
  <si>
    <t>Guest không gửi hoàn hàng</t>
  </si>
  <si>
    <t>Đã có tài khoản khách hàng và/hoặc đơn hàng mẫu trong hệ thống</t>
  </si>
  <si>
    <t>1. Chưa login mở ?view=order-return&amp;code=...</t>
  </si>
  <si>
    <t>Yêu cầu đăng nhập, không hiện form</t>
  </si>
  <si>
    <t>TC-E22</t>
  </si>
  <si>
    <t>6. Module F: Đánh giá sản phẩm</t>
  </si>
  <si>
    <t>Gửi review</t>
  </si>
  <si>
    <t>Hệ thống Winsum Home đang chạy tại http://localhost/winsumweb</t>
  </si>
  <si>
    <t>1. Form submit_review trên product</t>
  </si>
  <si>
    <t>Tạo review status approved, hiển thị ngay</t>
  </si>
  <si>
    <t>TC-F01</t>
  </si>
  <si>
    <t>Review thiếu nội dung</t>
  </si>
  <si>
    <t>Hệ thống Winsum Home đang chạy tại http://localhost/winsumweb</t>
  </si>
  <si>
    <t>1. Bỏ trống content</t>
  </si>
  <si>
    <t>Validate báo lỗi</t>
  </si>
  <si>
    <t>TC-F02</t>
  </si>
  <si>
    <t>Rating cập nhật ngay</t>
  </si>
  <si>
    <t>Hệ thống Winsum Home đang chạy tại http://localhost/winsumweb</t>
  </si>
  <si>
    <t>1. Gửi review hợp lệ</t>
  </si>
  <si>
    <t>rating_average và rating_count SP cập nhật</t>
  </si>
  <si>
    <t>TC-F03</t>
  </si>
  <si>
    <t>Review từ chối (legacy)</t>
  </si>
  <si>
    <t>Hệ thống Winsum Home đang chạy tại http://localhost/winsumweb</t>
  </si>
  <si>
    <t>1. Admin reject review pending cũ</t>
  </si>
  <si>
    <t>Không hiện công khai</t>
  </si>
  <si>
    <t>TC-F04</t>
  </si>
  <si>
    <t>Chỉ đánh giá đơn đã giao</t>
  </si>
  <si>
    <t>Hệ thống Winsum Home đang chạy tại http://localhost/winsumweb</t>
  </si>
  <si>
    <t>1. Khách mở SP thuộc đơn chưa delivered</t>
  </si>
  <si>
    <t>Không hiển thị form / backend từ chối</t>
  </si>
  <si>
    <t>TC-F05</t>
  </si>
  <si>
    <t>Chặn đánh giá trùng</t>
  </si>
  <si>
    <t>Hệ thống Winsum Home đang chạy tại http://localhost/winsumweb</t>
  </si>
  <si>
    <t>1. Khách đã đánh giá SP, gửi lần 2</t>
  </si>
  <si>
    <t>Báo đã đánh giá sản phẩm này rồi</t>
  </si>
  <si>
    <t>TC-F06</t>
  </si>
  <si>
    <t>Ẩn form sau đánh giá</t>
  </si>
  <si>
    <t>Hệ thống Winsum Home đang chạy tại http://localhost/winsumweb</t>
  </si>
  <si>
    <t>1. Khách đã gửi review thành công</t>
  </si>
  <si>
    <t>Form ẩn, thông báo đã đánh giá</t>
  </si>
  <si>
    <t>TC-F07</t>
  </si>
  <si>
    <t>7. Module G: Blog &amp; bình luận</t>
  </si>
  <si>
    <t>Danh sách blog</t>
  </si>
  <si>
    <t>Hệ thống Winsum Home đang chạy tại http://localhost/winsumweb</t>
  </si>
  <si>
    <t>1. Mở ?view=blog</t>
  </si>
  <si>
    <t>Grid bài viết, excerpt 4 dòng</t>
  </si>
  <si>
    <t>TC-G01</t>
  </si>
  <si>
    <t>Phân trang blog</t>
  </si>
  <si>
    <t>Hệ thống Winsum Home đang chạy tại http://localhost/winsumweb</t>
  </si>
  <si>
    <t>1. Chuyển trang 2</t>
  </si>
  <si>
    <t>6 bài/trang, pagination catalog style</t>
  </si>
  <si>
    <t>TC-G02</t>
  </si>
  <si>
    <t>Chi tiết bài viết</t>
  </si>
  <si>
    <t>Hệ thống Winsum Home đang chạy tại http://localhost/winsumweb</t>
  </si>
  <si>
    <t>1. Click bài ?view=post&amp;slug=...</t>
  </si>
  <si>
    <t>Nội dung, không ảnh cover đầu trang</t>
  </si>
  <si>
    <t>TC-G03</t>
  </si>
  <si>
    <t>Sidebar blog</t>
  </si>
  <si>
    <t>Hệ thống Winsum Home đang chạy tại http://localhost/winsumweb</t>
  </si>
  <si>
    <t>1. Xem sidebar blog</t>
  </si>
  <si>
    <t>Danh mục, bài nổi bật</t>
  </si>
  <si>
    <t>TC-G04</t>
  </si>
  <si>
    <t>Gửi bình luận</t>
  </si>
  <si>
    <t>Hệ thống Winsum Home đang chạy tại http://localhost/winsumweb</t>
  </si>
  <si>
    <t>1. submit_comment trên post</t>
  </si>
  <si>
    <t>Tạo comment pending</t>
  </si>
  <si>
    <t>TC-G05</t>
  </si>
  <si>
    <t>Comment sau duyệt</t>
  </si>
  <si>
    <t>Hệ thống Winsum Home đang chạy tại http://localhost/winsumweb</t>
  </si>
  <si>
    <t>1. Admin approve comment</t>
  </si>
  <si>
    <t>Hiện dưới bài viết</t>
  </si>
  <si>
    <t>TC-G06</t>
  </si>
  <si>
    <t>Blog editor (admin)</t>
  </si>
  <si>
    <t>Hệ thống Winsum Home đang chạy tại http://localhost/winsumweb</t>
  </si>
  <si>
    <t>1. Tạo/sửa bài ?view=blog-editor</t>
  </si>
  <si>
    <t>Lưu draft/published</t>
  </si>
  <si>
    <t>TC-G07</t>
  </si>
  <si>
    <t>UTF-8 tiếng Việt blog</t>
  </si>
  <si>
    <t>Hệ thống Winsum Home đang chạy tại http://localhost/winsumweb</t>
  </si>
  <si>
    <t>1. Xem tiêu đề/nội dung VN</t>
  </si>
  <si>
    <t>Không lỗi ????</t>
  </si>
  <si>
    <t>TC-G08</t>
  </si>
  <si>
    <t>8. Module H: Admin — Đăng nhập &amp; Dashboard</t>
  </si>
  <si>
    <t>Đăng nhập admin</t>
  </si>
  <si>
    <t>Có tài khoản admin; đăng nhập admin@winsumhome.vn thành công</t>
  </si>
  <si>
    <t>1. Login admin@winsumhome.vn / mật khẩu admin</t>
  </si>
  <si>
    <t>Vào admin-dashboard</t>
  </si>
  <si>
    <t>TC-H01</t>
  </si>
  <si>
    <t>Chặn guest admin</t>
  </si>
  <si>
    <t>Có tài khoản admin; đăng nhập admin@winsumhome.vn thành công</t>
  </si>
  <si>
    <t>1. Truy cập admin-products không login</t>
  </si>
  <si>
    <t>Redirect / từ chối</t>
  </si>
  <si>
    <t>TC-H02</t>
  </si>
  <si>
    <t>Dashboard thống kê</t>
  </si>
  <si>
    <t>Có tài khoản admin; đăng nhập admin@winsumhome.vn thành công</t>
  </si>
  <si>
    <t>1. Xem admin-dashboard</t>
  </si>
  <si>
    <t>Số đơn, doanh thu thuần, cảnh báo tồn kho</t>
  </si>
  <si>
    <t>TC-H03</t>
  </si>
  <si>
    <t>Đăng xuất admin</t>
  </si>
  <si>
    <t>Có tài khoản admin; đăng nhập admin@winsumhome.vn thành công</t>
  </si>
  <si>
    <t>1. admin_logout</t>
  </si>
  <si>
    <t>Về storefront</t>
  </si>
  <si>
    <t>TC-H04</t>
  </si>
  <si>
    <t>COD auto paid khi giao</t>
  </si>
  <si>
    <t>Có tài khoản admin; đăng nhập admin@winsumhome.vn thành công</t>
  </si>
  <si>
    <t>1. Admin chuyển đơn COD sang delivered</t>
  </si>
  <si>
    <t>payment_status = paid tự động</t>
  </si>
  <si>
    <t>TC-H05</t>
  </si>
  <si>
    <t>Doanh thu chưa trừ khi chờ hoàn</t>
  </si>
  <si>
    <t>Có tài khoản admin; đăng nhập admin@winsumhome.vn thành công</t>
  </si>
  <si>
    <t>1. Có đơn return_pending/accepted/received. 2. Xem dashboard revenue_net</t>
  </si>
  <si>
    <t>revenue_net không giảm cho đến khi đơn returned</t>
  </si>
  <si>
    <t>TC-H06</t>
  </si>
  <si>
    <t>Doanh thu hoàn sau giai đoạn 4</t>
  </si>
  <si>
    <t>Có tài khoản admin; đăng nhập admin@winsumhome.vn thành công</t>
  </si>
  <si>
    <t>1. Admin complete refund. 2. Refresh dashboard</t>
  </si>
  <si>
    <t>revenue_refunded tăng; revenue_net giảm tương ứng</t>
  </si>
  <si>
    <t>TC-H07</t>
  </si>
  <si>
    <t>Cảnh báo đơn chờ hoàn</t>
  </si>
  <si>
    <t>Có tài khoản admin; đăng nhập admin@winsumhome.vn thành công</t>
  </si>
  <si>
    <t>1. Có yêu cầu hoàn pending trên admin-returns</t>
  </si>
  <si>
    <t>Dashboard hoặc menu admin phản ánh số đơn cần xử lý (nếu có)</t>
  </si>
  <si>
    <t>TC-H08</t>
  </si>
  <si>
    <t>9. Module I: Admin — Sản phẩm &amp; tồn kho</t>
  </si>
  <si>
    <t>Danh sách SP admin</t>
  </si>
  <si>
    <t>Có tài khoản admin; đăng nhập admin@winsumhome.vn thành công</t>
  </si>
  <si>
    <t>1. Mở admin-products</t>
  </si>
  <si>
    <t>Bảng SP, phân trang</t>
  </si>
  <si>
    <t>TC-I01</t>
  </si>
  <si>
    <t>Tìm kiếm SP admin</t>
  </si>
  <si>
    <t>Có tài khoản admin; đăng nhập admin@winsumhome.vn thành công</t>
  </si>
  <si>
    <t>1. Tìm theo tên/SKU/slug</t>
  </si>
  <si>
    <t>Lọc đúng kết quả</t>
  </si>
  <si>
    <t>TC-I02</t>
  </si>
  <si>
    <t>Thêm sản phẩm</t>
  </si>
  <si>
    <t>Có tài khoản admin; đăng nhập admin@winsumhome.vn thành công</t>
  </si>
  <si>
    <t>1. save_product form mới</t>
  </si>
  <si>
    <t>SP hiện trên catalog</t>
  </si>
  <si>
    <t>TC-I03</t>
  </si>
  <si>
    <t>Sửa sản phẩm</t>
  </si>
  <si>
    <t>Có tài khoản admin; đăng nhập admin@winsumhome.vn thành công</t>
  </si>
  <si>
    <t>1. save_product với id</t>
  </si>
  <si>
    <t>Thay đổi phản ánh web</t>
  </si>
  <si>
    <t>TC-I04</t>
  </si>
  <si>
    <t>Ẩn/xóa sản phẩm</t>
  </si>
  <si>
    <t>Có tài khoản admin; đăng nhập admin@winsumhome.vn thành công</t>
  </si>
  <si>
    <t>1. delete_product</t>
  </si>
  <si>
    <t>SP ẩn khỏi storefront</t>
  </si>
  <si>
    <t>TC-I05</t>
  </si>
  <si>
    <t>Cảnh báo hết hàng</t>
  </si>
  <si>
    <t>Có tài khoản admin; đăng nhập admin@winsumhome.vn thành công</t>
  </si>
  <si>
    <t>1. Đặt hết SP cuối cùng</t>
  </si>
  <si>
    <t>Alert trên dashboard/products</t>
  </si>
  <si>
    <t>TC-I06</t>
  </si>
  <si>
    <t>Đánh dấu đã xử lý alert</t>
  </si>
  <si>
    <t>Có tài khoản admin; đăng nhập admin@winsumhome.vn thành công</t>
  </si>
  <si>
    <t>1. mark_inventory_read</t>
  </si>
  <si>
    <t>Alert biến mất/không đếm</t>
  </si>
  <si>
    <t>TC-I07</t>
  </si>
  <si>
    <t>Upload ảnh SP</t>
  </si>
  <si>
    <t>Có tài khoản admin; đăng nhập admin@winsumhome.vn thành công</t>
  </si>
  <si>
    <t>1. Thêm URL/upload ảnh</t>
  </si>
  <si>
    <t>Hiển thị trên chi tiết SP</t>
  </si>
  <si>
    <t>TC-I08</t>
  </si>
  <si>
    <t>Tách trang thêm/sửa sản phẩm</t>
  </si>
  <si>
    <t>Có tài khoản admin; đăng nhập admin@winsumhome.vn thành công</t>
  </si>
  <si>
    <t>1. admin-products → thêm/sửa chi tiết</t>
  </si>
  <si>
    <t>Mở admin-product-create / admin-product-edit</t>
  </si>
  <si>
    <t>TC-I09</t>
  </si>
  <si>
    <t>Lưu SP và tồn kho cùng transaction</t>
  </si>
  <si>
    <t>Có tài khoản admin; đăng nhập admin@winsumhome.vn thành công</t>
  </si>
  <si>
    <t>1. Sửa thông tin + số lượng tồn kho</t>
  </si>
  <si>
    <t>Rollback nếu lỗi; cả hai cùng lưu khi thành công</t>
  </si>
  <si>
    <t>TC-I10</t>
  </si>
  <si>
    <t>10. Module J: Admin — Đơn hàng</t>
  </si>
  <si>
    <t>Danh sách đơn</t>
  </si>
  <si>
    <t>Có tài khoản admin; đăng nhập admin@winsumhome.vn thành công</t>
  </si>
  <si>
    <t>1. Mở admin-orders</t>
  </si>
  <si>
    <t>Lọc, tìm mã đơn/SĐT, xem trạng thái thanh toán</t>
  </si>
  <si>
    <t>TC-J01</t>
  </si>
  <si>
    <t>Chi tiết đơn admin</t>
  </si>
  <si>
    <t>Có tài khoản admin; đăng nhập admin@winsumhome.vn thành công</t>
  </si>
  <si>
    <t>1. admin-order-detail?code=...</t>
  </si>
  <si>
    <t>Items, khách, lịch sử trạng thái</t>
  </si>
  <si>
    <t>TC-J02</t>
  </si>
  <si>
    <t>Cập nhật thanh toán</t>
  </si>
  <si>
    <t>Có tài khoản admin; đăng nhập admin@winsumhome.vn thành công</t>
  </si>
  <si>
    <t>1. update_payment_status → paid</t>
  </si>
  <si>
    <t>Dashboard doanh thu cập nhật (đơn chưa returned)</t>
  </si>
  <si>
    <t>TC-J03</t>
  </si>
  <si>
    <t>Cập nhật giao hàng</t>
  </si>
  <si>
    <t>Có tài khoản admin; đăng nhập admin@winsumhome.vn thành công</t>
  </si>
  <si>
    <t>1. update_fulfillment_status</t>
  </si>
  <si>
    <t>Trạng thái fulfillment đổi</t>
  </si>
  <si>
    <t>TC-J04</t>
  </si>
  <si>
    <t>Lịch sử trạng thái</t>
  </si>
  <si>
    <t>Có tài khoản admin; đăng nhập admin@winsumhome.vn thành công</t>
  </si>
  <si>
    <t>1. Đổi trạng thái nhiều lần</t>
  </si>
  <si>
    <t>order_status_history ghi log đầy đủ</t>
  </si>
  <si>
    <t>TC-J05</t>
  </si>
  <si>
    <t>CSRF trên form đơn</t>
  </si>
  <si>
    <t>Có tài khoản admin; đăng nhập admin@winsumhome.vn thành công</t>
  </si>
  <si>
    <t>1. POST không token</t>
  </si>
  <si>
    <t>Từ chối cập nhật</t>
  </si>
  <si>
    <t>TC-J06</t>
  </si>
  <si>
    <t>Khóa trạng thái cuối &amp; luồng hoàn</t>
  </si>
  <si>
    <t>Có tài khoản admin; đăng nhập admin@winsumhome.vn thành công</t>
  </si>
  <si>
    <t>1. Đơn cancelled/returned/delivered hoặc return_pending/accepted/received, admin đổi shipped</t>
  </si>
  <si>
    <t>Hệ thống từ chối cập nhật trái luồng</t>
  </si>
  <si>
    <t>TC-J07</t>
  </si>
  <si>
    <t>Xem đơn theo khách</t>
  </si>
  <si>
    <t>Có tài khoản admin; đăng nhập admin@winsumhome.vn thành công</t>
  </si>
  <si>
    <t>1. Từ chi tiết khách bấm xem đơn hàng</t>
  </si>
  <si>
    <t>Chỉ hiện đơn của khách đó</t>
  </si>
  <si>
    <t>TC-J08</t>
  </si>
  <si>
    <t>Hoàn kho khi hủy</t>
  </si>
  <si>
    <t>Có tài khoản admin; đăng nhập admin@winsumhome.vn thành công</t>
  </si>
  <si>
    <t>1. Khách hủy đơn đã trừ kho</t>
  </si>
  <si>
    <t>inventory_items tăng lại, inventory_restocked = 1</t>
  </si>
  <si>
    <t>TC-J09</t>
  </si>
  <si>
    <t>Khóa lùi shipped</t>
  </si>
  <si>
    <t>Có tài khoản admin; đăng nhập admin@winsumhome.vn thành công</t>
  </si>
  <si>
    <t>1. Đơn shipped, admin đổi giao hàng về pending</t>
  </si>
  <si>
    <t>Hệ thống từ chối</t>
  </si>
  <si>
    <t>TC-J10</t>
  </si>
  <si>
    <t>Khóa thanh toán đơn cuối</t>
  </si>
  <si>
    <t>Có tài khoản admin; đăng nhập admin@winsumhome.vn thành công</t>
  </si>
  <si>
    <t>1. Đơn delivered/cancelled/returned, admin đổi payment</t>
  </si>
  <si>
    <t>Form disabled và backend từ chối</t>
  </si>
  <si>
    <t>TC-J11</t>
  </si>
  <si>
    <t>Admin không set returned trực tiếp</t>
  </si>
  <si>
    <t>Có tài khoản admin; đăng nhập admin@winsumhome.vn thành công</t>
  </si>
  <si>
    <t>1. Admin chọn returned trên admin-orders</t>
  </si>
  <si>
    <t>Không có option / backend từ chối</t>
  </si>
  <si>
    <t>TC-J12</t>
  </si>
  <si>
    <t>Không đổi payment khi đang hoàn</t>
  </si>
  <si>
    <t>Có tài khoản admin; đăng nhập admin@winsumhome.vn thành công</t>
  </si>
  <si>
    <t>1. Đơn return_pending, admin thử đổi payment_status</t>
  </si>
  <si>
    <t>Form khóa / backend từ chối</t>
  </si>
  <si>
    <t>TC-J13</t>
  </si>
  <si>
    <t>Lịch sử giai đoạn hoàn</t>
  </si>
  <si>
    <t>Có tài khoản admin; đăng nhập admin@winsumhome.vn thành công</t>
  </si>
  <si>
    <t>1. Chạy đủ 4 giai đoạn hoàn. 2. Xem order_status_history</t>
  </si>
  <si>
    <t>Ghi customer_return, return_accept, return_goods_received, return_complete</t>
  </si>
  <si>
    <t>TC-J14</t>
  </si>
  <si>
    <t>Hoàn coupon khi returned</t>
  </si>
  <si>
    <t>Có tài khoản admin; đăng nhập admin@winsumhome.vn thành công</t>
  </si>
  <si>
    <t>1. Đơn có coupon, hoàn thành giai đoạn 4</t>
  </si>
  <si>
    <t>Lượt dùng coupon được giải phóng (có thể dùng lại)</t>
  </si>
  <si>
    <t>TC-J15</t>
  </si>
  <si>
    <t>11. Module K: Admin — Khách hàng, đánh giá, blog, hoàn hàng</t>
  </si>
  <si>
    <t>Danh sách khách</t>
  </si>
  <si>
    <t>Có tài khoản admin; đăng nhập admin@winsumhome.vn thành công</t>
  </si>
  <si>
    <t>1. Mở admin-customers</t>
  </si>
  <si>
    <t>Phân trang, lọc</t>
  </si>
  <si>
    <t>TC-K01</t>
  </si>
  <si>
    <t>Khóa/mở khách</t>
  </si>
  <si>
    <t>Có tài khoản admin; đăng nhập admin@winsumhome.vn thành công</t>
  </si>
  <si>
    <t>1. toggle_customer_block</t>
  </si>
  <si>
    <t>status cập nhật</t>
  </si>
  <si>
    <t>TC-K02</t>
  </si>
  <si>
    <t>Xóa review</t>
  </si>
  <si>
    <t>Có tài khoản admin; đăng nhập admin@winsumhome.vn thành công</t>
  </si>
  <si>
    <t>1. admin-reviews delete</t>
  </si>
  <si>
    <t>Review biến mất, rating SP tính lại</t>
  </si>
  <si>
    <t>TC-K03</t>
  </si>
  <si>
    <t>Duyệt review legacy</t>
  </si>
  <si>
    <t>Có tài khoản admin; đăng nhập admin@winsumhome.vn thành công</t>
  </si>
  <si>
    <t>1. admin-reviews approve (pending cũ)</t>
  </si>
  <si>
    <t>Review cũ chuyển approved</t>
  </si>
  <si>
    <t>TC-K04</t>
  </si>
  <si>
    <t>Quản lý blog</t>
  </si>
  <si>
    <t>Có tài khoản admin; đăng nhập admin@winsumhome.vn thành công</t>
  </si>
  <si>
    <t>1. set_blog_status, delete</t>
  </si>
  <si>
    <t>Storefront phản ánh</t>
  </si>
  <si>
    <t>TC-K05</t>
  </si>
  <si>
    <t>Duyệt bình luận blog</t>
  </si>
  <si>
    <t>Có tài khoản admin; đăng nhập admin@winsumhome.vn thành công</t>
  </si>
  <si>
    <t>1. admin-blog-comments approve</t>
  </si>
  <si>
    <t>Comment hiện trên post</t>
  </si>
  <si>
    <t>TC-K06</t>
  </si>
  <si>
    <t>Trang admin-returns &amp; tabs</t>
  </si>
  <si>
    <t>Có tài khoản admin; đăng nhập admin@winsumhome.vn thành công</t>
  </si>
  <si>
    <t>1. Mở ?view=admin-returns</t>
  </si>
  <si>
    <t>Hiển thị tabs: Chờ duyệt / Đã duyệt chờ hàng / Đã nhận hàng / Hoàn tất / Từ chối</t>
  </si>
  <si>
    <t>TC-K07</t>
  </si>
  <si>
    <t>Giai đoạn 2 — Duyệt yêu cầu (accept)</t>
  </si>
  <si>
    <t>Có tài khoản admin; đăng nhập admin@winsumhome.vn thành công</t>
  </si>
  <si>
    <t>1. Tab Chờ duyệt, bấm Duyệt + ghi chú. 2. POST return_accept</t>
  </si>
  <si>
    <t>Request → accepted; đơn → return_accepted; chưa hoàn tiền, chưa cộng kho</t>
  </si>
  <si>
    <t>TC-K08</t>
  </si>
  <si>
    <t>Giai đoạn 2 — Từ chối (reject)</t>
  </si>
  <si>
    <t>Có tài khoản admin; đăng nhập admin@winsumhome.vn thành công</t>
  </si>
  <si>
    <t>1. Tab Chờ duyệt, bấm Từ chối + lý do</t>
  </si>
  <si>
    <t>Request → rejected; đơn → delivered</t>
  </si>
  <si>
    <t>TC-K09</t>
  </si>
  <si>
    <t>Giai đoạn 3 — Xác nhận nhận hàng</t>
  </si>
  <si>
    <t>Có tài khoản admin; đăng nhập admin@winsumhome.vn thành công</t>
  </si>
  <si>
    <t>1. Tab Đã duyệt, bấm Đã nhận hàng hoàn, nhập phí ship hoàn (nếu có)</t>
  </si>
  <si>
    <t>Request → goods_received; đơn → return_received; tồn kho SP được cộng lại</t>
  </si>
  <si>
    <t>TC-K10</t>
  </si>
  <si>
    <t>Giai đoạn 4 — Hoàn tiền</t>
  </si>
  <si>
    <t>Có tài khoản admin; đăng nhập admin@winsumhome.vn thành công</t>
  </si>
  <si>
    <t>1. Tab Đã nhận hàng, bấm Hoàn tiền</t>
  </si>
  <si>
    <t>Request → completed; đơn → returned; payment_status → refunded</t>
  </si>
  <si>
    <t>TC-K11</t>
  </si>
  <si>
    <t>Xem ảnh &amp; STK ngân hàng</t>
  </si>
  <si>
    <t>Có tài khoản admin; đăng nhập admin@winsumhome.vn thành công</t>
  </si>
  <si>
    <t>1. Mở chi tiết yêu cầu hoàn trên admin-returns</t>
  </si>
  <si>
    <t>Hiển thị ảnh bằng chứng, STK, tên TK, ngân hàng khách cung cấp</t>
  </si>
  <si>
    <t>TC-K12</t>
  </si>
  <si>
    <t>CSRF trên action hoàn</t>
  </si>
  <si>
    <t>Có tài khoản admin; đăng nhập admin@winsumhome.vn thành công</t>
  </si>
  <si>
    <t>1. POST return_accept/confirm_goods/complete_refund không token</t>
  </si>
  <si>
    <t>Từ chối thao tác</t>
  </si>
  <si>
    <t>TC-K13</t>
  </si>
  <si>
    <t>Không skip giai đoạn</t>
  </si>
  <si>
    <t>Có tài khoản admin; đăng nhập admin@winsumhome.vn thành công</t>
  </si>
  <si>
    <t>1. Thử complete_refund khi request còn pending</t>
  </si>
  <si>
    <t>Backend từ chối; bắt buộc đúng thứ tự 4 bước</t>
  </si>
  <si>
    <t>TC-K14</t>
  </si>
  <si>
    <t>12. Module L: Bảo mật &amp; dữ liệu</t>
  </si>
  <si>
    <t>CSRF form POST</t>
  </si>
  <si>
    <t>Hệ thống Winsum Home đang chạy tại http://localhost/winsumweb</t>
  </si>
  <si>
    <t>1. Gửi POST thiếu csrf_token</t>
  </si>
  <si>
    <t>Từ chối / báo phiên không hợp lệ</t>
  </si>
  <si>
    <t>TC-L01</t>
  </si>
  <si>
    <t>Prepared statements</t>
  </si>
  <si>
    <t>Hệ thống Winsum Home đang chạy tại http://localhost/winsumweb</t>
  </si>
  <si>
    <t>1. Nhập SQL injection trong search</t>
  </si>
  <si>
    <t>Không lỗi DB, không lộ data</t>
  </si>
  <si>
    <t>TC-L02</t>
  </si>
  <si>
    <t>XSS output</t>
  </si>
  <si>
    <t>Hệ thống Winsum Home đang chạy tại http://localhost/winsumweb</t>
  </si>
  <si>
    <t>1. Nhập &lt;script&gt; trong review</t>
  </si>
  <si>
    <t>Escape HTML khi hiển thị</t>
  </si>
  <si>
    <t>TC-L03</t>
  </si>
  <si>
    <t>Phân quyền admin</t>
  </si>
  <si>
    <t>Hệ thống Winsum Home đang chạy tại http://localhost/winsumweb</t>
  </si>
  <si>
    <t>1. Customer thường vào admin URL</t>
  </si>
  <si>
    <t>Bị chặn</t>
  </si>
  <si>
    <t>TC-L04</t>
  </si>
  <si>
    <t>Session cart isolation</t>
  </si>
  <si>
    <t>Hệ thống Winsum Home đang chạy tại http://localhost/winsumweb</t>
  </si>
  <si>
    <t>1. Hai trình duyệt khác nhau</t>
  </si>
  <si>
    <t>Giỏ độc lập theo session</t>
  </si>
  <si>
    <t>TC-L05</t>
  </si>
  <si>
    <t>Encoding UTF-8</t>
  </si>
  <si>
    <t>Hệ thống Winsum Home đang chạy tại http://localhost/winsumweb</t>
  </si>
  <si>
    <t>1. Dữ liệu tiếng Việt toàn site</t>
  </si>
  <si>
    <t>Không ???? trên UI</t>
  </si>
  <si>
    <t>TC-L06</t>
  </si>
  <si>
    <t>SĐT hợp lệ</t>
  </si>
  <si>
    <t>Hệ thống Winsum Home đang chạy tại http://localhost/winsumweb</t>
  </si>
  <si>
    <t>1. Form checkout/register/profile với SĐT sai</t>
  </si>
  <si>
    <t>Backend từ chối nếu không đúng 10 số bắt đầu 0</t>
  </si>
  <si>
    <t>TC-L07</t>
  </si>
  <si>
    <t>13. Module M: Giao diện &amp; tương thích</t>
  </si>
  <si>
    <t>Responsive header</t>
  </si>
  <si>
    <t>Hệ thống Winsum Home đang chạy tại http://localhost/winsumweb</t>
  </si>
  <si>
    <t>1. Thu nhỏ viewport 768px</t>
  </si>
  <si>
    <t>Menu/mobile usable</t>
  </si>
  <si>
    <t>TC-M01</t>
  </si>
  <si>
    <t>Flash message</t>
  </si>
  <si>
    <t>Hệ thống Winsum Home đang chạy tại http://localhost/winsumweb</t>
  </si>
  <si>
    <t>1. Thao tác thành công/thất bại</t>
  </si>
  <si>
    <t>Toast/notice hiển thị</t>
  </si>
  <si>
    <t>TC-M02</t>
  </si>
  <si>
    <t>Pagination style</t>
  </si>
  <si>
    <t>Hệ thống Winsum Home đang chạy tại http://localhost/winsumweb</t>
  </si>
  <si>
    <t>1. Blog &amp; catalog pagination</t>
  </si>
  <si>
    <t>Class catalog-pagination thống nhất</t>
  </si>
  <si>
    <t>TC-M03</t>
  </si>
  <si>
    <t>404 / fallback view</t>
  </si>
  <si>
    <t>Hệ thống Winsum Home đang chạy tại http://localhost/winsumweb</t>
  </si>
  <si>
    <t>1. view=unknown</t>
  </si>
  <si>
    <t>Về home an toàn</t>
  </si>
  <si>
    <t>TC-M04</t>
  </si>
  <si>
    <t>Nút quay lại dùng chung</t>
  </si>
  <si>
    <t>Hệ thống Winsum Home đang chạy tại http://localhost/winsumweb</t>
  </si>
  <si>
    <t>1. Mở trang bất kỳ khác home</t>
  </si>
  <si>
    <t>Có nút quay lại trang trước ở đầu nội dung</t>
  </si>
  <si>
    <t>TC-M05</t>
  </si>
  <si>
    <t>UI form hoàn hàng</t>
  </si>
  <si>
    <t>Hệ thống Winsum Home đang chạy tại http://localhost/winsumweb</t>
  </si>
  <si>
    <t>1. Mở ?view=order-return</t>
  </si>
  <si>
    <t>Form dùng checkout-form, label/input giãn cách hợp lý</t>
  </si>
  <si>
    <t>TC-M06</t>
  </si>
  <si>
    <t>Bo góc input hoàn hàng</t>
  </si>
  <si>
    <t>Hệ thống Winsum Home đang chạy tại http://localhost/winsumweb</t>
  </si>
  <si>
    <t>1. Kiểm tra select, textarea, file upload trên order-return</t>
  </si>
  <si>
    <t>border-radius đồng bộ, không góc vuông lệch theme</t>
  </si>
  <si>
    <t>TC-M07</t>
  </si>
  <si>
    <t>Breadcrumb trang hoàn</t>
  </si>
  <si>
    <t>Hệ thống Winsum Home đang chạy tại http://localhost/winsumweb</t>
  </si>
  <si>
    <t>1. Xem breadcrumb order-return</t>
  </si>
  <si>
    <t>Trang chủ / Đơn hàng / Chi tiết đơn / Hoàn hàng</t>
  </si>
  <si>
    <t>TC-M08</t>
  </si>
  <si>
    <t>Tiến độ hoàn trực quan</t>
  </si>
  <si>
    <t>Hệ thống Winsum Home đang chạy tại http://localhost/winsumweb</t>
  </si>
  <si>
    <t>1. Xem order-detail khi đang hoàn</t>
  </si>
  <si>
    <t>Thanh/bước tiến độ 4 giai đoạn hiển thị rõ</t>
  </si>
  <si>
    <t>TC-M09</t>
  </si>
  <si>
    <t>14. Module N: Hoàn hàng 4 giai đoạn — Luồng E2E</t>
  </si>
  <si>
    <t>E2E — Giai đoạn 1 khách gửi yêu cầu</t>
  </si>
  <si>
    <t>Đơn hàng đã giao (delivered) trong vòng 7 ngày; dữ liệu mẫu sẵn sàng</t>
  </si>
  <si>
    <t>1. Đặt đơn COD/VietQR, admin giao delivered. 2. Khách gửi form hoàn đầy đủ trong 7 ngày</t>
  </si>
  <si>
    <t>order_return_requests.status=pending; orders.status=return_pending; payment chưa refunded</t>
  </si>
  <si>
    <t>TC-N01</t>
  </si>
  <si>
    <t>E2E — Giai đoạn 2 admin duyệt</t>
  </si>
  <si>
    <t>Đơn hàng đã giao (delivered) trong vòng 7 ngày; dữ liệu mẫu sẵn sàng</t>
  </si>
  <si>
    <t>1. Admin accept yêu cầu TC-N01</t>
  </si>
  <si>
    <t>request=accepted; order=return_accepted; khách thấy hướng dẫn trả hàng</t>
  </si>
  <si>
    <t>TC-N02</t>
  </si>
  <si>
    <t>E2E — Giai đoạn 3 nhận hàng hoàn</t>
  </si>
  <si>
    <t>Đơn hàng đã giao (delivered) trong vòng 7 ngày; dữ liệu mẫu sẵn sàng</t>
  </si>
  <si>
    <t>1. Admin confirm goods received</t>
  </si>
  <si>
    <t>request=goods_received; order=return_received; inventory tăng lại</t>
  </si>
  <si>
    <t>TC-N03</t>
  </si>
  <si>
    <t>E2E — Giai đoạn 4 hoàn tiền</t>
  </si>
  <si>
    <t>Đơn hàng đã giao (delivered) trong vòng 7 ngày; dữ liệu mẫu sẵn sàng</t>
  </si>
  <si>
    <t>1. Admin complete refund</t>
  </si>
  <si>
    <t>request=completed; order=returned; payment_status=refunded</t>
  </si>
  <si>
    <t>TC-N04</t>
  </si>
  <si>
    <t>E2E — Từ chối và gửi lại</t>
  </si>
  <si>
    <t>Đơn hàng đã giao (delivered) trong vòng 7 ngày; dữ liệu mẫu sẵn sàng</t>
  </si>
  <si>
    <t>1. Gửi yêu cầu hoàn. 2. Admin reject. 3. Khách gửi lại (còn hạn)</t>
  </si>
  <si>
    <t>Lần 1 rejected→delivered; lần 2 tạo request pending mới</t>
  </si>
  <si>
    <t>TC-N05</t>
  </si>
  <si>
    <t>Đơn VietQR đã paid khi hoàn</t>
  </si>
  <si>
    <t>Đơn hàng đã giao (delivered) trong vòng 7 ngày; dữ liệu mẫu sẵn sàng</t>
  </si>
  <si>
    <t>1. Đơn VietQR paid + delivered. 2. Chạy đủ 4 giai đoạn</t>
  </si>
  <si>
    <t>Cuối cùng refunded; không double-count doanh thu</t>
  </si>
  <si>
    <t>TC-N06</t>
  </si>
  <si>
    <t>Đơn COD auto paid khi hoàn</t>
  </si>
  <si>
    <t>Đơn hàng đã giao (delivered) trong vòng 7 ngày; dữ liệu mẫu sẵn sàng</t>
  </si>
  <si>
    <t>1. Đơn COD delivered (auto paid). 2. Chạy đủ 4 giai đoạn</t>
  </si>
  <si>
    <t>refunded sau giai đoạn 4; revenue_net điều chỉnh</t>
  </si>
  <si>
    <t>TC-N07</t>
  </si>
  <si>
    <t>Phí ship hoàn ghi nhận</t>
  </si>
  <si>
    <t>Đơn hàng đã giao (delivered) trong vòng 7 ngày; dữ liệu mẫu sẵn sàng</t>
  </si>
  <si>
    <t>1. Admin nhập return_shipping_cost ở giai đoạn 3</t>
  </si>
  <si>
    <t>Giá trị lưu vào order_return_requests</t>
  </si>
  <si>
    <t>TC-N08</t>
  </si>
  <si>
    <t>Timestamp từng giai đoạn</t>
  </si>
  <si>
    <t>Đơn hàng đã giao (delivered) trong vòng 7 ngày; dữ liệu mẫu sẵn sàng</t>
  </si>
  <si>
    <t>1. Sau mỗi bước admin, kiểm tra DB</t>
  </si>
  <si>
    <t>accepted_at, goods_received_at, completed_at (hoặc tương đương) được ghi</t>
  </si>
  <si>
    <t>TC-N09</t>
  </si>
  <si>
    <t>Upload ảnh lưu đường dẫn</t>
  </si>
  <si>
    <t>Đơn hàng đã giao (delivered) trong vòng 7 ngày; dữ liệu mẫu sẵn sàng</t>
  </si>
  <si>
    <t>1. Khách upload ảnh JPG/PNG hợp lệ</t>
  </si>
  <si>
    <t>File lưu uploads/returns/...; admin xem được</t>
  </si>
  <si>
    <t>TC-N10</t>
  </si>
  <si>
    <t>Không hoàn kho ở giai đoạn 1–2</t>
  </si>
  <si>
    <t>Đơn hàng đã giao (delivered) trong vòng 7 ngày; dữ liệu mẫu sẵn sàng</t>
  </si>
  <si>
    <t>1. Sau pending và accepted, kiểm tra inventory</t>
  </si>
  <si>
    <t>Tồn kho chưa tăng; chỉ tăng ở goods_received</t>
  </si>
  <si>
    <t>TC-N11</t>
  </si>
  <si>
    <t>Không refunded ở giai đoạn 1–3</t>
  </si>
  <si>
    <t>Đơn hàng đã giao (delivered) trong vòng 7 ngày; dữ liệu mẫu sẵn sàng</t>
  </si>
  <si>
    <t>1. Sau pending, accepted, goods_received</t>
  </si>
  <si>
    <t>payment_status vẫn paid (hoặc trạng thái trước hoàn); chưa refunded</t>
  </si>
  <si>
    <t>TC-N12</t>
  </si>
  <si>
    <t>Đơn không đủ điều kiện hoàn</t>
  </si>
  <si>
    <t>Đơn hàng đã giao (delivered) trong vòng 7 ngày; dữ liệu mẫu sẵn sàng</t>
  </si>
  <si>
    <t>1. Đơn pending/shipped/cancelled, thử mở order-return</t>
  </si>
  <si>
    <t>Báo không đủ điều kiện; không hiện form</t>
  </si>
  <si>
    <t>TC-N13</t>
  </si>
  <si>
    <t>Chỉ chủ đơn gửi hoàn</t>
  </si>
  <si>
    <t>Đơn hàng đã giao (delivered) trong vòng 7 ngày; dữ liệu mẫu sẵn sàng</t>
  </si>
  <si>
    <t>1. Customer B thử order-return với code đơn của A</t>
  </si>
  <si>
    <t>Từ chối / không tìm thấy đơn</t>
  </si>
  <si>
    <t>TC-N14</t>
  </si>
  <si>
    <t>Lưu lý do hoàn &amp; ghi chú admin</t>
  </si>
  <si>
    <t>Đơn hàng đã giao (delivered) trong vòng 7 ngày; dữ liệu mẫu sẵn sàng</t>
  </si>
  <si>
    <t>1. Khách nhập reason; admin nhập note khi accept/reject/refund</t>
  </si>
  <si>
    <t>Nội dung lưu DB và hiển thị trên admin-returns</t>
  </si>
  <si>
    <t>TC-N15</t>
  </si>
  <si>
    <t xml:space="preserve">Hệ thống Winsum Home đang chạy tại http://localhost/webwinsum</t>
  </si>
  <si>
    <t xml:space="preserve">1. Mở http://localhost/webwinsum/index.php hoặc ?view=home</t>
  </si>
  <si>
    <t xml:space="preserve">1. Đặt đơn có mã, hủy đơn shipped (đang giao)</t>
  </si>
  <si>
    <t xml:space="preserve">Hủy đơn đang giao</t>
  </si>
  <si>
    <t xml:space="preserve">1. Cancel trên order-detail đơn shipped (mới đặt)</t>
  </si>
  <si>
    <t xml:space="preserve">Guest hủy đơn đang giao</t>
  </si>
  <si>
    <t xml:space="preserve">1. Tra cứu đơn guest rồi bấm hủy (đơn shipped)</t>
  </si>
  <si>
    <t xml:space="preserve">Đơn shipped → cancelled và hoàn kho</t>
  </si>
  <si>
    <t xml:space="preserve">1. Đơn status = delivered, khách bấm hủy</t>
  </si>
  <si>
    <t xml:space="preserve">Tạo comment status=approved, hiển thị ngay dưới bài</t>
  </si>
  <si>
    <t xml:space="preserve">Admin trả lời bình luận</t>
  </si>
  <si>
    <t xml:space="preserve">1. Admin reply trên admin-blog-comments hoặc trang bài viết</t>
  </si>
  <si>
    <t xml:space="preserve">Reply nested hiện dưới comment gốc</t>
  </si>
  <si>
    <t xml:space="preserve">Số đơn, doanh thu thuần, biểu đồ doanh thu, cảnh báo tồn kho</t>
  </si>
  <si>
    <t xml:space="preserve">COD cập nhật paid thủ công</t>
  </si>
  <si>
    <t xml:space="preserve">1. Admin chuyển đơn COD sang delivered. 2. Admin chọn «Đã thanh toán» và lưu</t>
  </si>
  <si>
    <t xml:space="preserve">payment_status = paid sau bước 2 (không tự động khi giao)</t>
  </si>
  <si>
    <t xml:space="preserve">Items, khách, trạng thái đơn/thanh toán/giao hàng</t>
  </si>
  <si>
    <t xml:space="preserve">Cập nhật trạng thái liên tiếp</t>
  </si>
  <si>
    <t xml:space="preserve">1. Admin đổi giao hàng shipped → delivered nhiều lần trên các đơn khác nhau</t>
  </si>
  <si>
    <t xml:space="preserve">Trạng thái hiển thị đúng trên chi tiết đơn sau mỗi lần lưu</t>
  </si>
  <si>
    <t xml:space="preserve">Tiến độ hoàn trên admin</t>
  </si>
  <si>
    <t xml:space="preserve">1. Chạy đủ 4 giai đoạn hoàn. 2. Xem admin-returns và order-detail</t>
  </si>
  <si>
    <t xml:space="preserve">Mỗi tab/trạng thái phản ánh đúng giai đoạn pending→accepted→received→completed</t>
  </si>
  <si>
    <t xml:space="preserve">Quản lý bình luận blog</t>
  </si>
  <si>
    <t xml:space="preserve">1. admin-blog-comments: xóa hoặc trả lời comment</t>
  </si>
  <si>
    <t xml:space="preserve">Thao tác phản ánh trên trang bài viết</t>
  </si>
  <si>
    <t xml:space="preserve">Đơn COD paid thủ công khi hoàn</t>
  </si>
  <si>
    <t xml:space="preserve">1. Đơn COD delivered + admin đã cập nhật paid. 2. Chạy đủ 4 giai đoạn</t>
  </si>
  <si>
    <t xml:space="preserve">1. Module B: Giỏ hàng &amp; mã giảm giá</t>
  </si>
  <si>
    <t xml:space="preserve">1. Module C: Thanh toán (Checkout)</t>
  </si>
  <si>
    <t xml:space="preserve">1. Module D: Xác thực khách hàng</t>
  </si>
  <si>
    <t xml:space="preserve">1. Module E: Đơn hàng khách hàng</t>
  </si>
  <si>
    <t xml:space="preserve">1. Module F: Đánh giá sản phẩm</t>
  </si>
  <si>
    <t xml:space="preserve">1. Module G: Blog &amp; bình luận</t>
  </si>
  <si>
    <t xml:space="preserve">1. Module H: Admin — Đăng nhập &amp; Dashboard</t>
  </si>
  <si>
    <t xml:space="preserve">1. Module I: Admin — Sản phẩm &amp; tồn kho</t>
  </si>
  <si>
    <t xml:space="preserve">1. Module J: Admin — Đơn hàng</t>
  </si>
  <si>
    <t xml:space="preserve">1. Module K: Admin — Khách hàng, đánh giá, blog, hoàn hàng</t>
  </si>
  <si>
    <t xml:space="preserve">1. Module L: Bảo mật &amp; dữ liệu</t>
  </si>
  <si>
    <t xml:space="preserve">1. Module M: Giao diện &amp; tương thích</t>
  </si>
  <si>
    <t xml:space="preserve">1. Module N: Hoàn hàng 4 giai đoạn — Luồng E2E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</si>
</sst>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"/>
    <numFmt numFmtId="165" formatCode="#,##0.0"/>
  </numFmts>
  <fonts count="18" x14ac:knownFonts="1">
    <font>
      <sz val="11"/>
      <color theme="1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18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sz val="10"/>
      <color rgb="FFFF0000"/>
      <name val="Tahoma"/>
    </font>
    <font>
      <b/>
      <sz val="10"/>
      <color theme="1"/>
      <name val="Tahoma"/>
    </font>
    <font>
      <b/>
      <sz val="10"/>
      <color rgb="FFFF0000"/>
      <name val="Tahoma"/>
    </font>
    <font>
      <sz val="10"/>
      <color rgb="FF000000"/>
      <name val="Tahoma"/>
    </font>
    <font>
      <i/>
      <sz val="10"/>
      <color rgb="FFFF0000"/>
      <name val="Tahoma"/>
    </font>
    <font>
      <b/>
      <sz val="10"/>
      <color rgb="FF000000"/>
      <name val="Tahoma"/>
    </font>
    <font>
      <sz val="11"/>
      <color theme="1"/>
      <name val="Calibri"/>
    </font>
    <font>
      <sz val="10"/>
      <color rgb="FF000000"/>
      <name val="Tahoma"/>
      <family val="2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0CECE"/>
        <bgColor rgb="FFD0CECE"/>
      </patternFill>
    </fill>
    <fill>
      <patternFill patternType="solid">
        <fgColor rgb="FF92D050"/>
        <bgColor rgb="FFFFFFFF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164" fontId="1" fillId="0" borderId="5" xfId="0" applyNumberFormat="1" applyFont="1" applyBorder="1" applyAlignment="1">
      <alignment horizontal="left" vertical="center"/>
    </xf>
    <xf numFmtId="165" fontId="1" fillId="0" borderId="4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8" fillId="3" borderId="14" xfId="0" applyNumberFormat="1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164" fontId="9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top"/>
    </xf>
    <xf numFmtId="15" fontId="1" fillId="0" borderId="5" xfId="0" applyNumberFormat="1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wrapText="1"/>
    </xf>
    <xf numFmtId="164" fontId="10" fillId="2" borderId="17" xfId="0" applyNumberFormat="1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top"/>
    </xf>
    <xf numFmtId="164" fontId="10" fillId="2" borderId="19" xfId="0" applyNumberFormat="1" applyFont="1" applyFill="1" applyBorder="1" applyAlignment="1">
      <alignment horizontal="left" vertical="top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/>
    </xf>
    <xf numFmtId="0" fontId="14" fillId="2" borderId="20" xfId="0" applyFont="1" applyFill="1" applyBorder="1" applyAlignment="1">
      <alignment horizontal="center" vertical="top"/>
    </xf>
    <xf numFmtId="0" fontId="14" fillId="2" borderId="5" xfId="0" applyFont="1" applyFill="1" applyBorder="1" applyAlignment="1">
      <alignment horizontal="center" vertical="top" wrapText="1"/>
    </xf>
    <xf numFmtId="0" fontId="14" fillId="2" borderId="2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left" vertical="top" wrapText="1"/>
    </xf>
    <xf numFmtId="0" fontId="12" fillId="2" borderId="20" xfId="0" applyFont="1" applyFill="1" applyBorder="1" applyAlignment="1">
      <alignment horizontal="center" vertical="top"/>
    </xf>
    <xf numFmtId="0" fontId="12" fillId="2" borderId="5" xfId="0" applyFont="1" applyFill="1" applyBorder="1" applyAlignment="1">
      <alignment horizontal="center" vertical="top" wrapText="1"/>
    </xf>
    <xf numFmtId="0" fontId="12" fillId="2" borderId="21" xfId="0" applyFont="1" applyFill="1" applyBorder="1" applyAlignment="1">
      <alignment horizontal="center" vertical="top" wrapText="1"/>
    </xf>
    <xf numFmtId="0" fontId="12" fillId="2" borderId="22" xfId="0" applyFont="1" applyFill="1" applyBorder="1" applyAlignment="1">
      <alignment horizontal="center" vertical="top"/>
    </xf>
    <xf numFmtId="0" fontId="12" fillId="2" borderId="23" xfId="0" applyFont="1" applyFill="1" applyBorder="1" applyAlignment="1">
      <alignment horizontal="center" vertical="top" wrapText="1"/>
    </xf>
    <xf numFmtId="0" fontId="12" fillId="2" borderId="24" xfId="0" applyFont="1" applyFill="1" applyBorder="1" applyAlignment="1">
      <alignment horizontal="center" vertical="top" wrapText="1"/>
    </xf>
    <xf numFmtId="9" fontId="11" fillId="2" borderId="25" xfId="0" applyNumberFormat="1" applyFont="1" applyFill="1" applyBorder="1" applyAlignment="1">
      <alignment horizontal="left" vertical="top"/>
    </xf>
    <xf numFmtId="3" fontId="12" fillId="2" borderId="26" xfId="0" applyNumberFormat="1" applyFont="1" applyFill="1" applyBorder="1" applyAlignment="1">
      <alignment horizontal="left" vertical="top"/>
    </xf>
    <xf numFmtId="3" fontId="12" fillId="2" borderId="26" xfId="0" applyNumberFormat="1" applyFont="1" applyFill="1" applyBorder="1" applyAlignment="1">
      <alignment horizontal="left" vertical="top" wrapText="1"/>
    </xf>
    <xf numFmtId="3" fontId="12" fillId="2" borderId="27" xfId="0" applyNumberFormat="1" applyFont="1" applyFill="1" applyBorder="1" applyAlignment="1">
      <alignment horizontal="left" vertical="top"/>
    </xf>
    <xf numFmtId="3" fontId="12" fillId="2" borderId="1" xfId="0" applyNumberFormat="1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164" fontId="8" fillId="3" borderId="5" xfId="0" applyNumberFormat="1" applyFont="1" applyFill="1" applyBorder="1" applyAlignment="1">
      <alignment horizontal="left" vertical="top" wrapText="1"/>
    </xf>
    <xf numFmtId="164" fontId="8" fillId="3" borderId="5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left" vertical="top" wrapText="1"/>
    </xf>
    <xf numFmtId="164" fontId="10" fillId="4" borderId="1" xfId="0" applyNumberFormat="1" applyFont="1" applyFill="1" applyBorder="1" applyAlignment="1">
      <alignment horizontal="left" vertical="top"/>
    </xf>
    <xf numFmtId="164" fontId="10" fillId="4" borderId="1" xfId="0" applyNumberFormat="1" applyFont="1" applyFill="1" applyBorder="1" applyAlignment="1">
      <alignment horizontal="left" vertical="top" wrapText="1"/>
    </xf>
    <xf numFmtId="0" fontId="1" fillId="4" borderId="28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left" vertical="top"/>
    </xf>
    <xf numFmtId="164" fontId="9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vertical="top"/>
    </xf>
    <xf numFmtId="164" fontId="1" fillId="2" borderId="2" xfId="0" applyNumberFormat="1" applyFont="1" applyFill="1" applyBorder="1" applyAlignment="1">
      <alignment horizontal="left" vertical="top" wrapText="1"/>
    </xf>
    <xf numFmtId="0" fontId="5" fillId="0" borderId="3" xfId="0" applyFont="1" applyBorder="1"/>
    <xf numFmtId="0" fontId="5" fillId="0" borderId="18" xfId="0" applyFont="1" applyBorder="1"/>
    <xf numFmtId="164" fontId="1" fillId="0" borderId="2" xfId="0" applyNumberFormat="1" applyFont="1" applyBorder="1" applyAlignment="1">
      <alignment horizontal="left" vertical="top" wrapText="1"/>
    </xf>
    <xf numFmtId="0" fontId="5" fillId="0" borderId="4" xfId="0" applyFont="1" applyBorder="1"/>
    <xf numFmtId="164" fontId="13" fillId="2" borderId="2" xfId="0" applyNumberFormat="1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5" fillId="0" borderId="10" xfId="0" applyFont="1" applyBorder="1"/>
    <xf numFmtId="0" fontId="1" fillId="0" borderId="7" xfId="0" applyFont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16" fillId="5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2" tint="-0.34998626667073579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customschemas.google.com/relationships/workbookmetadata" Target="metadata"/><Relationship Id="rId18" Type="http://schemas.openxmlformats.org/officeDocument/2006/relationships/calcChain" Target="calcChain.xml"/><Relationship Id="rId19" Type="http://schemas.openxmlformats.org/officeDocument/2006/relationships/sharedStrings" Target="sharedStrings.xml"/><Relationship Id="rId20" Type="http://schemas.openxmlformats.org/officeDocument/2006/relationships/styles" Target="styles.xml"/><Relationship Id="rId2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workbookViewId="0">
      <selection activeCell="D20" sqref="D20"/>
    </sheetView>
  </sheetViews>
  <sheetFormatPr defaultColWidth="14.42578125" defaultRowHeight="15" customHeight="1" x14ac:dyDescent="0.25"/>
  <cols>
    <col min="1" max="1" width="2.5703125" customWidth="1"/>
    <col min="2" max="2" width="22.42578125" customWidth="1"/>
    <col min="3" max="3" width="27.85546875" customWidth="1"/>
    <col min="4" max="4" width="26.85546875" customWidth="1"/>
    <col min="5" max="5" width="21.140625" customWidth="1"/>
    <col min="6" max="6" width="35.5703125" customWidth="1"/>
    <col min="7" max="7" width="47.28515625" customWidth="1"/>
    <col min="8" max="26" width="9.140625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3.25" customHeight="1" x14ac:dyDescent="0.25">
      <c r="A2" s="3"/>
      <c r="B2" s="4"/>
      <c r="C2" s="71" t="s">
        <v>0</v>
      </c>
      <c r="D2" s="66"/>
      <c r="E2" s="66"/>
      <c r="F2" s="66"/>
      <c r="G2" s="6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9" t="s">
        <v>1</v>
      </c>
      <c r="C4" s="72"/>
      <c r="D4" s="66"/>
      <c r="E4" s="69"/>
      <c r="F4" s="9" t="s">
        <v>2</v>
      </c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9" t="s">
        <v>3</v>
      </c>
      <c r="C5" s="72"/>
      <c r="D5" s="66"/>
      <c r="E5" s="69"/>
      <c r="F5" s="9" t="s">
        <v>4</v>
      </c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73" t="s">
        <v>5</v>
      </c>
      <c r="C6" s="75"/>
      <c r="D6" s="76"/>
      <c r="E6" s="77"/>
      <c r="F6" s="9" t="s">
        <v>6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74"/>
      <c r="C7" s="78"/>
      <c r="D7" s="79"/>
      <c r="E7" s="80"/>
      <c r="F7" s="9" t="s">
        <v>7</v>
      </c>
      <c r="G7" s="1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6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4"/>
      <c r="B11" s="15" t="s">
        <v>9</v>
      </c>
      <c r="C11" s="16" t="s">
        <v>10</v>
      </c>
      <c r="D11" s="16" t="s">
        <v>11</v>
      </c>
      <c r="E11" s="17" t="s">
        <v>12</v>
      </c>
      <c r="F11" s="17" t="s">
        <v>13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25">
      <c r="A12" s="1"/>
      <c r="B12" s="18"/>
      <c r="C12" s="19"/>
      <c r="D12" s="20"/>
      <c r="E12" s="21"/>
      <c r="F12" s="2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8"/>
      <c r="C13" s="19"/>
      <c r="D13" s="22"/>
      <c r="E13" s="21"/>
      <c r="F13" s="2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11"/>
      <c r="C14" s="19"/>
      <c r="D14" s="22"/>
      <c r="E14" s="21"/>
      <c r="F14" s="2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11"/>
      <c r="C15" s="19"/>
      <c r="D15" s="22"/>
      <c r="E15" s="22"/>
      <c r="F15" s="2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11"/>
      <c r="C16" s="19"/>
      <c r="D16" s="22"/>
      <c r="E16" s="22"/>
      <c r="F16" s="2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11"/>
      <c r="C17" s="19"/>
      <c r="D17" s="22"/>
      <c r="E17" s="22"/>
      <c r="F17" s="2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1"/>
      <c r="C18" s="19"/>
      <c r="D18" s="24"/>
      <c r="E18" s="22"/>
      <c r="F18" s="2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2"/>
      <c r="C19" s="1"/>
      <c r="D19" s="1"/>
      <c r="E19" s="1"/>
      <c r="F19" s="1"/>
      <c r="G19" s="2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"/>
      <c r="C20" s="1"/>
      <c r="D20" s="1"/>
      <c r="E20" s="1"/>
      <c r="F20" s="1"/>
      <c r="G20" s="2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"/>
      <c r="C21" s="1"/>
      <c r="D21" s="1"/>
      <c r="E21" s="1"/>
      <c r="F21" s="1"/>
      <c r="G21" s="2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"/>
      <c r="C22" s="1"/>
      <c r="D22" s="1"/>
      <c r="E22" s="1"/>
      <c r="F22" s="1"/>
      <c r="G22" s="2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183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COUNTA(A9:A183)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33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34</v>
      </c>
      <c r="C10" s="87" t="s">
        <v>852</v>
      </c>
      <c r="D10" s="21" t="s">
        <v>853</v>
      </c>
      <c r="E10" s="88" t="s">
        <v>37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38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39</v>
      </c>
      <c r="C11" s="87" t="s">
        <v>852</v>
      </c>
      <c r="D11" s="21" t="s">
        <v>41</v>
      </c>
      <c r="E11" s="88" t="s">
        <v>42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43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44</v>
      </c>
      <c r="C12" s="87" t="s">
        <v>852</v>
      </c>
      <c r="D12" s="21" t="s">
        <v>46</v>
      </c>
      <c r="E12" s="88" t="s">
        <v>47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48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49</v>
      </c>
      <c r="C13" s="87" t="s">
        <v>852</v>
      </c>
      <c r="D13" s="21" t="s">
        <v>51</v>
      </c>
      <c r="E13" s="88" t="s">
        <v>52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53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54</v>
      </c>
      <c r="C14" s="87" t="s">
        <v>852</v>
      </c>
      <c r="D14" s="21" t="s">
        <v>56</v>
      </c>
      <c r="E14" s="88" t="s">
        <v>57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58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59</v>
      </c>
      <c r="C15" s="87" t="s">
        <v>852</v>
      </c>
      <c r="D15" s="21" t="s">
        <v>61</v>
      </c>
      <c r="E15" s="88" t="s">
        <v>62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63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64</v>
      </c>
      <c r="C16" s="87" t="s">
        <v>852</v>
      </c>
      <c r="D16" s="21" t="s">
        <v>66</v>
      </c>
      <c r="E16" s="88" t="s">
        <v>67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68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92.4" x14ac:dyDescent="0.3">
      <c r="A17" s="89" t="str">
        <f t="shared" si="0"/>
        <v>[Shop web Winsum Testing-8]</v>
      </c>
      <c r="B17" s="87" t="s">
        <v>69</v>
      </c>
      <c r="C17" s="87" t="s">
        <v>852</v>
      </c>
      <c r="D17" s="21" t="s">
        <v>71</v>
      </c>
      <c r="E17" s="88" t="s">
        <v>72</v>
      </c>
      <c r="F17" s="138" t="s">
        <v>14</v>
      </c>
      <c r="G17" s="86">
        <v>46175</v>
      </c>
      <c r="H17" s="89" t="str">
        <f t="shared" si="1"/>
        <v>Nhóm phát triển đồ án</v>
      </c>
      <c r="I17" s="90" t="s">
        <v>73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92.4" x14ac:dyDescent="0.3">
      <c r="A18" s="89" t="str">
        <f t="shared" si="0"/>
        <v>[Shop web Winsum Testing-9]</v>
      </c>
      <c r="B18" s="87" t="s">
        <v>74</v>
      </c>
      <c r="C18" s="87" t="s">
        <v>852</v>
      </c>
      <c r="D18" s="21" t="s">
        <v>76</v>
      </c>
      <c r="E18" s="88" t="s">
        <v>77</v>
      </c>
      <c r="F18" s="138" t="s">
        <v>14</v>
      </c>
      <c r="G18" s="86">
        <v>46176</v>
      </c>
      <c r="H18" s="89" t="str">
        <f t="shared" si="1"/>
        <v>Nhóm phát triển đồ án</v>
      </c>
      <c r="I18" s="90" t="s">
        <v>78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92.4" x14ac:dyDescent="0.3">
      <c r="A19" s="89" t="str">
        <f t="shared" si="0"/>
        <v>[Shop web Winsum Testing-10]</v>
      </c>
      <c r="B19" s="87" t="s">
        <v>79</v>
      </c>
      <c r="C19" s="87" t="s">
        <v>852</v>
      </c>
      <c r="D19" s="21" t="s">
        <v>81</v>
      </c>
      <c r="E19" s="88" t="s">
        <v>82</v>
      </c>
      <c r="F19" s="138" t="s">
        <v>14</v>
      </c>
      <c r="G19" s="86">
        <v>46177</v>
      </c>
      <c r="H19" s="89" t="str">
        <f t="shared" si="1"/>
        <v>Nhóm phát triển đồ án</v>
      </c>
      <c r="I19" s="90" t="s">
        <v>83</v>
      </c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 ht="14.25" customHeight="1" x14ac:dyDescent="0.3">
      <c r="A20" s="81"/>
      <c r="B20" s="81" t="s">
        <v>84</v>
      </c>
      <c r="C20" s="82"/>
      <c r="D20" s="82"/>
      <c r="E20" s="82"/>
      <c r="F20" s="82"/>
      <c r="G20" s="86">
        <v>46178</v>
      </c>
      <c r="H20" s="89" t="str">
        <f>B3</f>
        <v>Nhóm phát triển đồ án</v>
      </c>
      <c r="I20" s="84"/>
      <c r="J20" s="8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92.4" x14ac:dyDescent="0.3">
      <c r="A21" s="89" t="str">
        <f t="shared" si="0"/>
        <v>[Shop web Winsum Testing-11]</v>
      </c>
      <c r="B21" s="87" t="s">
        <v>85</v>
      </c>
      <c r="C21" s="87" t="s">
        <v>86</v>
      </c>
      <c r="D21" s="21" t="s">
        <v>87</v>
      </c>
      <c r="E21" s="88" t="s">
        <v>88</v>
      </c>
      <c r="F21" s="138" t="s">
        <v>14</v>
      </c>
      <c r="G21" s="86">
        <v>46179</v>
      </c>
      <c r="H21" s="89" t="str">
        <f t="shared" si="1"/>
        <v>Nhóm phát triển đồ án</v>
      </c>
      <c r="I21" s="90" t="s">
        <v>89</v>
      </c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92.4" x14ac:dyDescent="0.3">
      <c r="A22" s="89" t="str">
        <f t="shared" si="0"/>
        <v>[Shop web Winsum Testing-12]</v>
      </c>
      <c r="B22" s="87" t="s">
        <v>90</v>
      </c>
      <c r="C22" s="87" t="s">
        <v>86</v>
      </c>
      <c r="D22" s="21" t="s">
        <v>92</v>
      </c>
      <c r="E22" s="88" t="s">
        <v>93</v>
      </c>
      <c r="F22" s="138" t="s">
        <v>14</v>
      </c>
      <c r="G22" s="86">
        <v>46180</v>
      </c>
      <c r="H22" s="89" t="str">
        <f t="shared" si="1"/>
        <v>Nhóm phát triển đồ án</v>
      </c>
      <c r="I22" s="90" t="s">
        <v>94</v>
      </c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92.4" x14ac:dyDescent="0.3">
      <c r="A23" s="89" t="str">
        <f t="shared" si="0"/>
        <v>[Shop web Winsum Testing-13]</v>
      </c>
      <c r="B23" s="87" t="s">
        <v>95</v>
      </c>
      <c r="C23" s="87" t="s">
        <v>86</v>
      </c>
      <c r="D23" s="21" t="s">
        <v>97</v>
      </c>
      <c r="E23" s="88" t="s">
        <v>98</v>
      </c>
      <c r="F23" s="138" t="s">
        <v>14</v>
      </c>
      <c r="G23" s="86">
        <v>46181</v>
      </c>
      <c r="H23" s="89" t="str">
        <f t="shared" si="1"/>
        <v>Nhóm phát triển đồ án</v>
      </c>
      <c r="I23" s="90" t="s">
        <v>99</v>
      </c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 ht="92.4" x14ac:dyDescent="0.3">
      <c r="A24" s="89" t="str">
        <f t="shared" si="0"/>
        <v>[Shop web Winsum Testing-14]</v>
      </c>
      <c r="B24" s="87" t="s">
        <v>100</v>
      </c>
      <c r="C24" s="87" t="s">
        <v>86</v>
      </c>
      <c r="D24" s="21" t="s">
        <v>102</v>
      </c>
      <c r="E24" s="88" t="s">
        <v>103</v>
      </c>
      <c r="F24" s="138" t="s">
        <v>14</v>
      </c>
      <c r="G24" s="86">
        <v>46182</v>
      </c>
      <c r="H24" s="89" t="str">
        <f t="shared" si="1"/>
        <v>Nhóm phát triển đồ án</v>
      </c>
      <c r="I24" s="90" t="s">
        <v>104</v>
      </c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1:26" ht="92.4" x14ac:dyDescent="0.3">
      <c r="A25" s="89" t="str">
        <f t="shared" si="0"/>
        <v>[Shop web Winsum Testing-15]</v>
      </c>
      <c r="B25" s="87" t="s">
        <v>105</v>
      </c>
      <c r="C25" s="87" t="s">
        <v>86</v>
      </c>
      <c r="D25" s="21" t="s">
        <v>107</v>
      </c>
      <c r="E25" s="88" t="s">
        <v>108</v>
      </c>
      <c r="F25" s="138" t="s">
        <v>14</v>
      </c>
      <c r="G25" s="86">
        <v>46183</v>
      </c>
      <c r="H25" s="89" t="str">
        <f t="shared" si="1"/>
        <v>Nhóm phát triển đồ án</v>
      </c>
      <c r="I25" s="90" t="s">
        <v>109</v>
      </c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spans="1:26" ht="92.4" x14ac:dyDescent="0.3">
      <c r="A26" s="89" t="str">
        <f t="shared" si="0"/>
        <v>[Shop web Winsum Testing-16]</v>
      </c>
      <c r="B26" s="87" t="s">
        <v>110</v>
      </c>
      <c r="C26" s="87" t="s">
        <v>86</v>
      </c>
      <c r="D26" s="21" t="s">
        <v>112</v>
      </c>
      <c r="E26" s="88" t="s">
        <v>113</v>
      </c>
      <c r="F26" s="138" t="s">
        <v>14</v>
      </c>
      <c r="G26" s="86">
        <v>46184</v>
      </c>
      <c r="H26" s="89" t="str">
        <f t="shared" si="1"/>
        <v>Nhóm phát triển đồ án</v>
      </c>
      <c r="I26" s="90" t="s">
        <v>114</v>
      </c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spans="1:26" ht="92.4" x14ac:dyDescent="0.3">
      <c r="A27" s="89" t="str">
        <f t="shared" si="0"/>
        <v>[Shop web Winsum Testing-17]</v>
      </c>
      <c r="B27" s="87" t="s">
        <v>115</v>
      </c>
      <c r="C27" s="87" t="s">
        <v>86</v>
      </c>
      <c r="D27" s="21" t="s">
        <v>117</v>
      </c>
      <c r="E27" s="88" t="s">
        <v>118</v>
      </c>
      <c r="F27" s="138" t="s">
        <v>14</v>
      </c>
      <c r="G27" s="86">
        <v>46185</v>
      </c>
      <c r="H27" s="89" t="str">
        <f t="shared" si="1"/>
        <v>Nhóm phát triển đồ án</v>
      </c>
      <c r="I27" s="90" t="s">
        <v>119</v>
      </c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spans="1:26" ht="92.4" x14ac:dyDescent="0.3">
      <c r="A28" s="89" t="str">
        <f t="shared" si="0"/>
        <v>[Shop web Winsum Testing-18]</v>
      </c>
      <c r="B28" s="87" t="s">
        <v>120</v>
      </c>
      <c r="C28" s="87" t="s">
        <v>86</v>
      </c>
      <c r="D28" s="21" t="s">
        <v>122</v>
      </c>
      <c r="E28" s="88" t="s">
        <v>123</v>
      </c>
      <c r="F28" s="138" t="s">
        <v>14</v>
      </c>
      <c r="G28" s="86">
        <v>46186</v>
      </c>
      <c r="H28" s="89" t="str">
        <f t="shared" si="1"/>
        <v>Nhóm phát triển đồ án</v>
      </c>
      <c r="I28" s="90" t="s">
        <v>124</v>
      </c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1:26" ht="92.4" x14ac:dyDescent="0.3">
      <c r="A29" s="89" t="str">
        <f t="shared" si="0"/>
        <v>[Shop web Winsum Testing-19]</v>
      </c>
      <c r="B29" s="87" t="s">
        <v>125</v>
      </c>
      <c r="C29" s="87" t="s">
        <v>86</v>
      </c>
      <c r="D29" s="21" t="s">
        <v>127</v>
      </c>
      <c r="E29" s="88" t="s">
        <v>128</v>
      </c>
      <c r="F29" s="138" t="s">
        <v>14</v>
      </c>
      <c r="G29" s="86">
        <v>46187</v>
      </c>
      <c r="H29" s="89" t="str">
        <f t="shared" si="1"/>
        <v>Nhóm phát triển đồ án</v>
      </c>
      <c r="I29" s="90" t="s">
        <v>129</v>
      </c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spans="1:26" ht="92.4" x14ac:dyDescent="0.3">
      <c r="A30" s="89" t="str">
        <f t="shared" si="0"/>
        <v>[Shop web Winsum Testing-20]</v>
      </c>
      <c r="B30" s="87" t="s">
        <v>130</v>
      </c>
      <c r="C30" s="87" t="s">
        <v>86</v>
      </c>
      <c r="D30" s="21" t="s">
        <v>132</v>
      </c>
      <c r="E30" s="88" t="s">
        <v>133</v>
      </c>
      <c r="F30" s="138" t="s">
        <v>14</v>
      </c>
      <c r="G30" s="86">
        <v>46188</v>
      </c>
      <c r="H30" s="89" t="str">
        <f t="shared" si="1"/>
        <v>Nhóm phát triển đồ án</v>
      </c>
      <c r="I30" s="90" t="s">
        <v>134</v>
      </c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92.4" x14ac:dyDescent="0.3">
      <c r="A31" s="89" t="str">
        <f t="shared" si="0"/>
        <v>[Shop web Winsum Testing-21]</v>
      </c>
      <c r="B31" s="87" t="s">
        <v>135</v>
      </c>
      <c r="C31" s="87" t="s">
        <v>86</v>
      </c>
      <c r="D31" s="21" t="s">
        <v>137</v>
      </c>
      <c r="E31" s="88" t="s">
        <v>138</v>
      </c>
      <c r="F31" s="138" t="s">
        <v>14</v>
      </c>
      <c r="G31" s="86">
        <v>46189</v>
      </c>
      <c r="H31" s="89" t="str">
        <f t="shared" si="1"/>
        <v>Nhóm phát triển đồ án</v>
      </c>
      <c r="I31" s="90" t="s">
        <v>139</v>
      </c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spans="1:26" ht="92.4" x14ac:dyDescent="0.3">
      <c r="A32" s="89" t="str">
        <f t="shared" si="0"/>
        <v>[Shop web Winsum Testing-22]</v>
      </c>
      <c r="B32" s="87" t="s">
        <v>140</v>
      </c>
      <c r="C32" s="87" t="s">
        <v>86</v>
      </c>
      <c r="D32" s="21" t="s">
        <v>854</v>
      </c>
      <c r="E32" s="88" t="s">
        <v>143</v>
      </c>
      <c r="F32" s="138" t="s">
        <v>14</v>
      </c>
      <c r="G32" s="86">
        <v>46190</v>
      </c>
      <c r="H32" s="89" t="str">
        <f t="shared" si="1"/>
        <v>Nhóm phát triển đồ án</v>
      </c>
      <c r="I32" s="90" t="s">
        <v>144</v>
      </c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spans="1:26" ht="14.25" customHeight="1" x14ac:dyDescent="0.3">
      <c r="A33" s="81"/>
      <c r="B33" s="81" t="s">
        <v>145</v>
      </c>
      <c r="C33" s="82"/>
      <c r="D33" s="82"/>
      <c r="E33" s="82"/>
      <c r="F33" s="82"/>
      <c r="G33" s="86">
        <v>46191</v>
      </c>
      <c r="H33" s="89" t="str">
        <f>B3</f>
        <v>Nhóm phát triển đồ án</v>
      </c>
      <c r="I33" s="84"/>
      <c r="J33" s="85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92.4" x14ac:dyDescent="0.3">
      <c r="A34" s="89" t="str">
        <f t="shared" si="0"/>
        <v>[Shop web Winsum Testing-23]</v>
      </c>
      <c r="B34" s="87" t="s">
        <v>146</v>
      </c>
      <c r="C34" s="87" t="s">
        <v>86</v>
      </c>
      <c r="D34" s="21" t="s">
        <v>148</v>
      </c>
      <c r="E34" s="88" t="s">
        <v>149</v>
      </c>
      <c r="F34" s="138" t="s">
        <v>14</v>
      </c>
      <c r="G34" s="86">
        <v>46192</v>
      </c>
      <c r="H34" s="89" t="str">
        <f t="shared" si="1"/>
        <v>Nhóm phát triển đồ án</v>
      </c>
      <c r="I34" s="90" t="s">
        <v>150</v>
      </c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1:26" ht="92.4" x14ac:dyDescent="0.3">
      <c r="A35" s="89" t="str">
        <f t="shared" si="0"/>
        <v>[Shop web Winsum Testing-24]</v>
      </c>
      <c r="B35" s="87" t="s">
        <v>151</v>
      </c>
      <c r="C35" s="87" t="s">
        <v>86</v>
      </c>
      <c r="D35" s="21" t="s">
        <v>153</v>
      </c>
      <c r="E35" s="88" t="s">
        <v>154</v>
      </c>
      <c r="F35" s="138" t="s">
        <v>14</v>
      </c>
      <c r="G35" s="86">
        <v>46193</v>
      </c>
      <c r="H35" s="89" t="str">
        <f t="shared" si="1"/>
        <v>Nhóm phát triển đồ án</v>
      </c>
      <c r="I35" s="90" t="s">
        <v>155</v>
      </c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spans="1:26" ht="92.4" x14ac:dyDescent="0.3">
      <c r="A36" s="89" t="str">
        <f t="shared" si="0"/>
        <v>[Shop web Winsum Testing-25]</v>
      </c>
      <c r="B36" s="87" t="s">
        <v>156</v>
      </c>
      <c r="C36" s="87" t="s">
        <v>86</v>
      </c>
      <c r="D36" s="21" t="s">
        <v>158</v>
      </c>
      <c r="E36" s="88" t="s">
        <v>159</v>
      </c>
      <c r="F36" s="138" t="s">
        <v>14</v>
      </c>
      <c r="G36" s="86">
        <v>46194</v>
      </c>
      <c r="H36" s="89" t="str">
        <f t="shared" si="1"/>
        <v>Nhóm phát triển đồ án</v>
      </c>
      <c r="I36" s="90" t="s">
        <v>160</v>
      </c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spans="1:26" ht="92.4" x14ac:dyDescent="0.3">
      <c r="A37" s="89" t="str">
        <f t="shared" si="0"/>
        <v>[Shop web Winsum Testing-26]</v>
      </c>
      <c r="B37" s="87" t="s">
        <v>161</v>
      </c>
      <c r="C37" s="87" t="s">
        <v>86</v>
      </c>
      <c r="D37" s="21" t="s">
        <v>163</v>
      </c>
      <c r="E37" s="88" t="s">
        <v>164</v>
      </c>
      <c r="F37" s="138" t="s">
        <v>14</v>
      </c>
      <c r="G37" s="86">
        <v>46195</v>
      </c>
      <c r="H37" s="89" t="str">
        <f t="shared" si="1"/>
        <v>Nhóm phát triển đồ án</v>
      </c>
      <c r="I37" s="90" t="s">
        <v>165</v>
      </c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1:26" ht="92.4" x14ac:dyDescent="0.3">
      <c r="A38" s="89" t="str">
        <f t="shared" si="0"/>
        <v>[Shop web Winsum Testing-27]</v>
      </c>
      <c r="B38" s="87" t="s">
        <v>166</v>
      </c>
      <c r="C38" s="87" t="s">
        <v>86</v>
      </c>
      <c r="D38" s="21" t="s">
        <v>168</v>
      </c>
      <c r="E38" s="88" t="s">
        <v>169</v>
      </c>
      <c r="F38" s="138" t="s">
        <v>14</v>
      </c>
      <c r="G38" s="86">
        <v>46196</v>
      </c>
      <c r="H38" s="89" t="str">
        <f t="shared" si="1"/>
        <v>Nhóm phát triển đồ án</v>
      </c>
      <c r="I38" s="90" t="s">
        <v>170</v>
      </c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1:26" ht="92.4" x14ac:dyDescent="0.3">
      <c r="A39" s="89" t="str">
        <f t="shared" si="0"/>
        <v>[Shop web Winsum Testing-28]</v>
      </c>
      <c r="B39" s="87" t="s">
        <v>171</v>
      </c>
      <c r="C39" s="87" t="s">
        <v>86</v>
      </c>
      <c r="D39" s="21" t="s">
        <v>173</v>
      </c>
      <c r="E39" s="88" t="s">
        <v>174</v>
      </c>
      <c r="F39" s="138" t="s">
        <v>14</v>
      </c>
      <c r="G39" s="86">
        <v>46197</v>
      </c>
      <c r="H39" s="89" t="str">
        <f t="shared" si="1"/>
        <v>Nhóm phát triển đồ án</v>
      </c>
      <c r="I39" s="90" t="s">
        <v>175</v>
      </c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spans="1:26" ht="92.4" x14ac:dyDescent="0.3">
      <c r="A40" s="89" t="str">
        <f t="shared" si="0"/>
        <v>[Shop web Winsum Testing-29]</v>
      </c>
      <c r="B40" s="87" t="s">
        <v>176</v>
      </c>
      <c r="C40" s="87" t="s">
        <v>86</v>
      </c>
      <c r="D40" s="21" t="s">
        <v>178</v>
      </c>
      <c r="E40" s="88" t="s">
        <v>179</v>
      </c>
      <c r="F40" s="138" t="s">
        <v>14</v>
      </c>
      <c r="G40" s="86">
        <v>46198</v>
      </c>
      <c r="H40" s="89" t="str">
        <f t="shared" si="1"/>
        <v>Nhóm phát triển đồ án</v>
      </c>
      <c r="I40" s="90" t="s">
        <v>180</v>
      </c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92.4" x14ac:dyDescent="0.3">
      <c r="A41" s="89" t="str">
        <f t="shared" si="0"/>
        <v>[Shop web Winsum Testing-30]</v>
      </c>
      <c r="B41" s="87" t="s">
        <v>181</v>
      </c>
      <c r="C41" s="87" t="s">
        <v>86</v>
      </c>
      <c r="D41" s="21" t="s">
        <v>183</v>
      </c>
      <c r="E41" s="88" t="s">
        <v>184</v>
      </c>
      <c r="F41" s="138" t="s">
        <v>14</v>
      </c>
      <c r="G41" s="86">
        <v>46199</v>
      </c>
      <c r="H41" s="89" t="str">
        <f t="shared" si="1"/>
        <v>Nhóm phát triển đồ án</v>
      </c>
      <c r="I41" s="90" t="s">
        <v>185</v>
      </c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spans="1:26" ht="92.4" x14ac:dyDescent="0.3">
      <c r="A42" s="89" t="str">
        <f t="shared" si="0"/>
        <v>[Shop web Winsum Testing-31]</v>
      </c>
      <c r="B42" s="87" t="s">
        <v>186</v>
      </c>
      <c r="C42" s="87" t="s">
        <v>86</v>
      </c>
      <c r="D42" s="21" t="s">
        <v>188</v>
      </c>
      <c r="E42" s="88" t="s">
        <v>189</v>
      </c>
      <c r="F42" s="138" t="s">
        <v>14</v>
      </c>
      <c r="G42" s="86">
        <v>46200</v>
      </c>
      <c r="H42" s="89" t="str">
        <f t="shared" si="1"/>
        <v>Nhóm phát triển đồ án</v>
      </c>
      <c r="I42" s="90" t="s">
        <v>190</v>
      </c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spans="1:26" ht="92.4" x14ac:dyDescent="0.3">
      <c r="A43" s="89" t="str">
        <f t="shared" si="0"/>
        <v>[Shop web Winsum Testing-32]</v>
      </c>
      <c r="B43" s="87" t="s">
        <v>191</v>
      </c>
      <c r="C43" s="87" t="s">
        <v>86</v>
      </c>
      <c r="D43" s="21" t="s">
        <v>193</v>
      </c>
      <c r="E43" s="88" t="s">
        <v>194</v>
      </c>
      <c r="F43" s="138" t="s">
        <v>14</v>
      </c>
      <c r="G43" s="86">
        <v>46201</v>
      </c>
      <c r="H43" s="89" t="str">
        <f t="shared" si="1"/>
        <v>Nhóm phát triển đồ án</v>
      </c>
      <c r="I43" s="90" t="s">
        <v>195</v>
      </c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spans="1:26" ht="92.4" x14ac:dyDescent="0.3">
      <c r="A44" s="89" t="str">
        <f t="shared" si="0"/>
        <v>[Shop web Winsum Testing-33]</v>
      </c>
      <c r="B44" s="87" t="s">
        <v>196</v>
      </c>
      <c r="C44" s="87" t="s">
        <v>86</v>
      </c>
      <c r="D44" s="21" t="s">
        <v>198</v>
      </c>
      <c r="E44" s="88" t="s">
        <v>199</v>
      </c>
      <c r="F44" s="138" t="s">
        <v>14</v>
      </c>
      <c r="G44" s="86">
        <v>46202</v>
      </c>
      <c r="H44" s="89" t="str">
        <f t="shared" si="1"/>
        <v>Nhóm phát triển đồ án</v>
      </c>
      <c r="I44" s="90" t="s">
        <v>200</v>
      </c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spans="1:26" ht="92.4" x14ac:dyDescent="0.3">
      <c r="A45" s="89" t="str">
        <f t="shared" si="0"/>
        <v>[Shop web Winsum Testing-34]</v>
      </c>
      <c r="B45" s="87" t="s">
        <v>201</v>
      </c>
      <c r="C45" s="87" t="s">
        <v>86</v>
      </c>
      <c r="D45" s="21" t="s">
        <v>203</v>
      </c>
      <c r="E45" s="88" t="s">
        <v>204</v>
      </c>
      <c r="F45" s="138" t="s">
        <v>14</v>
      </c>
      <c r="G45" s="86">
        <v>46203</v>
      </c>
      <c r="H45" s="89" t="str">
        <f t="shared" si="1"/>
        <v>Nhóm phát triển đồ án</v>
      </c>
      <c r="I45" s="90" t="s">
        <v>205</v>
      </c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spans="1:26" ht="92.4" x14ac:dyDescent="0.3">
      <c r="A46" s="89" t="str">
        <f t="shared" si="0"/>
        <v>[Shop web Winsum Testing-35]</v>
      </c>
      <c r="B46" s="87" t="s">
        <v>206</v>
      </c>
      <c r="C46" s="87" t="s">
        <v>86</v>
      </c>
      <c r="D46" s="21" t="s">
        <v>208</v>
      </c>
      <c r="E46" s="88" t="s">
        <v>209</v>
      </c>
      <c r="F46" s="138" t="s">
        <v>14</v>
      </c>
      <c r="G46" s="86">
        <v>46204</v>
      </c>
      <c r="H46" s="89" t="str">
        <f t="shared" si="1"/>
        <v>Nhóm phát triển đồ án</v>
      </c>
      <c r="I46" s="90" t="s">
        <v>210</v>
      </c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spans="1:26" ht="92.4" x14ac:dyDescent="0.3">
      <c r="A47" s="89" t="str">
        <f t="shared" si="0"/>
        <v>[Shop web Winsum Testing-36]</v>
      </c>
      <c r="B47" s="87" t="s">
        <v>211</v>
      </c>
      <c r="C47" s="87" t="s">
        <v>86</v>
      </c>
      <c r="D47" s="21" t="s">
        <v>213</v>
      </c>
      <c r="E47" s="88" t="s">
        <v>214</v>
      </c>
      <c r="F47" s="138" t="s">
        <v>14</v>
      </c>
      <c r="G47" s="86">
        <v>46205</v>
      </c>
      <c r="H47" s="89" t="str">
        <f t="shared" si="1"/>
        <v>Nhóm phát triển đồ án</v>
      </c>
      <c r="I47" s="90" t="s">
        <v>215</v>
      </c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spans="1:26" ht="14.25" customHeight="1" x14ac:dyDescent="0.3">
      <c r="A48" s="81"/>
      <c r="B48" s="81" t="s">
        <v>216</v>
      </c>
      <c r="C48" s="82"/>
      <c r="D48" s="82"/>
      <c r="E48" s="82"/>
      <c r="F48" s="82"/>
      <c r="G48" s="86">
        <v>46206</v>
      </c>
      <c r="H48" s="89" t="str">
        <f>B3</f>
        <v>Nhóm phát triển đồ án</v>
      </c>
      <c r="I48" s="84"/>
      <c r="J48" s="85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92.4" x14ac:dyDescent="0.3">
      <c r="A49" s="89" t="str">
        <f t="shared" si="0"/>
        <v>[Shop web Winsum Testing-37]</v>
      </c>
      <c r="B49" s="87" t="s">
        <v>217</v>
      </c>
      <c r="C49" s="87" t="s">
        <v>218</v>
      </c>
      <c r="D49" s="21" t="s">
        <v>219</v>
      </c>
      <c r="E49" s="88" t="s">
        <v>220</v>
      </c>
      <c r="F49" s="138" t="s">
        <v>14</v>
      </c>
      <c r="G49" s="86">
        <v>46207</v>
      </c>
      <c r="H49" s="89" t="str">
        <f t="shared" si="1"/>
        <v>Nhóm phát triển đồ án</v>
      </c>
      <c r="I49" s="90" t="s">
        <v>221</v>
      </c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spans="1:26" ht="92.4" x14ac:dyDescent="0.3">
      <c r="A50" s="89" t="str">
        <f t="shared" si="0"/>
        <v>[Shop web Winsum Testing-38]</v>
      </c>
      <c r="B50" s="87" t="s">
        <v>222</v>
      </c>
      <c r="C50" s="87" t="s">
        <v>218</v>
      </c>
      <c r="D50" s="21" t="s">
        <v>224</v>
      </c>
      <c r="E50" s="88" t="s">
        <v>225</v>
      </c>
      <c r="F50" s="138" t="s">
        <v>14</v>
      </c>
      <c r="G50" s="86">
        <v>46208</v>
      </c>
      <c r="H50" s="89" t="str">
        <f t="shared" si="1"/>
        <v>Nhóm phát triển đồ án</v>
      </c>
      <c r="I50" s="90" t="s">
        <v>226</v>
      </c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spans="1:26" ht="92.4" x14ac:dyDescent="0.3">
      <c r="A51" s="89" t="str">
        <f t="shared" si="0"/>
        <v>[Shop web Winsum Testing-39]</v>
      </c>
      <c r="B51" s="87" t="s">
        <v>227</v>
      </c>
      <c r="C51" s="87" t="s">
        <v>218</v>
      </c>
      <c r="D51" s="21" t="s">
        <v>229</v>
      </c>
      <c r="E51" s="88" t="s">
        <v>230</v>
      </c>
      <c r="F51" s="138" t="s">
        <v>14</v>
      </c>
      <c r="G51" s="86">
        <v>46209</v>
      </c>
      <c r="H51" s="89" t="str">
        <f t="shared" si="1"/>
        <v>Nhóm phát triển đồ án</v>
      </c>
      <c r="I51" s="90" t="s">
        <v>231</v>
      </c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spans="1:26" ht="92.4" x14ac:dyDescent="0.3">
      <c r="A52" s="89" t="str">
        <f t="shared" si="0"/>
        <v>[Shop web Winsum Testing-40]</v>
      </c>
      <c r="B52" s="87" t="s">
        <v>232</v>
      </c>
      <c r="C52" s="87" t="s">
        <v>218</v>
      </c>
      <c r="D52" s="21" t="s">
        <v>234</v>
      </c>
      <c r="E52" s="88" t="s">
        <v>235</v>
      </c>
      <c r="F52" s="138" t="s">
        <v>14</v>
      </c>
      <c r="G52" s="86">
        <v>46210</v>
      </c>
      <c r="H52" s="89" t="str">
        <f t="shared" si="1"/>
        <v>Nhóm phát triển đồ án</v>
      </c>
      <c r="I52" s="90" t="s">
        <v>236</v>
      </c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spans="1:26" ht="92.4" x14ac:dyDescent="0.3">
      <c r="A53" s="89" t="str">
        <f t="shared" si="0"/>
        <v>[Shop web Winsum Testing-41]</v>
      </c>
      <c r="B53" s="87" t="s">
        <v>237</v>
      </c>
      <c r="C53" s="87" t="s">
        <v>218</v>
      </c>
      <c r="D53" s="21" t="s">
        <v>239</v>
      </c>
      <c r="E53" s="88" t="s">
        <v>240</v>
      </c>
      <c r="F53" s="138" t="s">
        <v>14</v>
      </c>
      <c r="G53" s="86">
        <v>46211</v>
      </c>
      <c r="H53" s="89" t="str">
        <f t="shared" si="1"/>
        <v>Nhóm phát triển đồ án</v>
      </c>
      <c r="I53" s="90" t="s">
        <v>241</v>
      </c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spans="1:26" ht="92.4" x14ac:dyDescent="0.3">
      <c r="A54" s="89" t="str">
        <f t="shared" si="0"/>
        <v>[Shop web Winsum Testing-42]</v>
      </c>
      <c r="B54" s="87" t="s">
        <v>242</v>
      </c>
      <c r="C54" s="87" t="s">
        <v>218</v>
      </c>
      <c r="D54" s="21" t="s">
        <v>244</v>
      </c>
      <c r="E54" s="88" t="s">
        <v>245</v>
      </c>
      <c r="F54" s="138" t="s">
        <v>14</v>
      </c>
      <c r="G54" s="86">
        <v>46212</v>
      </c>
      <c r="H54" s="89" t="str">
        <f t="shared" si="1"/>
        <v>Nhóm phát triển đồ án</v>
      </c>
      <c r="I54" s="90" t="s">
        <v>246</v>
      </c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spans="1:26" ht="92.4" x14ac:dyDescent="0.3">
      <c r="A55" s="89" t="str">
        <f t="shared" si="0"/>
        <v>[Shop web Winsum Testing-43]</v>
      </c>
      <c r="B55" s="87" t="s">
        <v>247</v>
      </c>
      <c r="C55" s="87" t="s">
        <v>218</v>
      </c>
      <c r="D55" s="21" t="s">
        <v>249</v>
      </c>
      <c r="E55" s="88" t="s">
        <v>250</v>
      </c>
      <c r="F55" s="138" t="s">
        <v>14</v>
      </c>
      <c r="G55" s="86">
        <v>46213</v>
      </c>
      <c r="H55" s="89" t="str">
        <f t="shared" si="1"/>
        <v>Nhóm phát triển đồ án</v>
      </c>
      <c r="I55" s="90" t="s">
        <v>251</v>
      </c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spans="1:26" ht="92.4" x14ac:dyDescent="0.3">
      <c r="A56" s="89" t="str">
        <f t="shared" si="0"/>
        <v>[Shop web Winsum Testing-44]</v>
      </c>
      <c r="B56" s="87" t="s">
        <v>252</v>
      </c>
      <c r="C56" s="87" t="s">
        <v>218</v>
      </c>
      <c r="D56" s="21" t="s">
        <v>254</v>
      </c>
      <c r="E56" s="88" t="s">
        <v>255</v>
      </c>
      <c r="F56" s="138" t="s">
        <v>14</v>
      </c>
      <c r="G56" s="86">
        <v>46214</v>
      </c>
      <c r="H56" s="89" t="str">
        <f t="shared" si="1"/>
        <v>Nhóm phát triển đồ án</v>
      </c>
      <c r="I56" s="90" t="s">
        <v>256</v>
      </c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spans="1:26" ht="92.4" x14ac:dyDescent="0.3">
      <c r="A57" s="89" t="str">
        <f t="shared" si="0"/>
        <v>[Shop web Winsum Testing-45]</v>
      </c>
      <c r="B57" s="87" t="s">
        <v>257</v>
      </c>
      <c r="C57" s="87" t="s">
        <v>218</v>
      </c>
      <c r="D57" s="21" t="s">
        <v>259</v>
      </c>
      <c r="E57" s="88" t="s">
        <v>260</v>
      </c>
      <c r="F57" s="138" t="s">
        <v>14</v>
      </c>
      <c r="G57" s="86">
        <v>46215</v>
      </c>
      <c r="H57" s="89" t="str">
        <f t="shared" si="1"/>
        <v>Nhóm phát triển đồ án</v>
      </c>
      <c r="I57" s="90" t="s">
        <v>261</v>
      </c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spans="1:26" ht="92.4" x14ac:dyDescent="0.3">
      <c r="A58" s="89" t="str">
        <f t="shared" si="0"/>
        <v>[Shop web Winsum Testing-46]</v>
      </c>
      <c r="B58" s="87" t="s">
        <v>262</v>
      </c>
      <c r="C58" s="87" t="s">
        <v>218</v>
      </c>
      <c r="D58" s="21" t="s">
        <v>264</v>
      </c>
      <c r="E58" s="88" t="s">
        <v>265</v>
      </c>
      <c r="F58" s="138" t="s">
        <v>14</v>
      </c>
      <c r="G58" s="86">
        <v>46216</v>
      </c>
      <c r="H58" s="89" t="str">
        <f t="shared" si="1"/>
        <v>Nhóm phát triển đồ án</v>
      </c>
      <c r="I58" s="90" t="s">
        <v>266</v>
      </c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spans="1:26" ht="14.25" customHeight="1" x14ac:dyDescent="0.3">
      <c r="A59" s="81"/>
      <c r="B59" s="81" t="s">
        <v>267</v>
      </c>
      <c r="C59" s="82"/>
      <c r="D59" s="82"/>
      <c r="E59" s="82"/>
      <c r="F59" s="82"/>
      <c r="G59" s="86">
        <v>46217</v>
      </c>
      <c r="H59" s="89" t="str">
        <f>B3</f>
        <v>Nhóm phát triển đồ án</v>
      </c>
      <c r="I59" s="84"/>
      <c r="J59" s="85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92.4" x14ac:dyDescent="0.3">
      <c r="A60" s="89" t="str">
        <f t="shared" si="0"/>
        <v>[Shop web Winsum Testing-47]</v>
      </c>
      <c r="B60" s="87" t="s">
        <v>268</v>
      </c>
      <c r="C60" s="87" t="s">
        <v>218</v>
      </c>
      <c r="D60" s="21" t="s">
        <v>270</v>
      </c>
      <c r="E60" s="88" t="s">
        <v>271</v>
      </c>
      <c r="F60" s="138" t="s">
        <v>14</v>
      </c>
      <c r="G60" s="86">
        <v>46218</v>
      </c>
      <c r="H60" s="89" t="str">
        <f t="shared" si="1"/>
        <v>Nhóm phát triển đồ án</v>
      </c>
      <c r="I60" s="90" t="s">
        <v>272</v>
      </c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spans="1:26" ht="92.4" x14ac:dyDescent="0.3">
      <c r="A61" s="89" t="str">
        <f t="shared" si="0"/>
        <v>[Shop web Winsum Testing-48]</v>
      </c>
      <c r="B61" s="87" t="s">
        <v>273</v>
      </c>
      <c r="C61" s="87" t="s">
        <v>218</v>
      </c>
      <c r="D61" s="21" t="s">
        <v>275</v>
      </c>
      <c r="E61" s="88" t="s">
        <v>276</v>
      </c>
      <c r="F61" s="138" t="s">
        <v>14</v>
      </c>
      <c r="G61" s="86">
        <v>46219</v>
      </c>
      <c r="H61" s="89" t="str">
        <f t="shared" si="1"/>
        <v>Nhóm phát triển đồ án</v>
      </c>
      <c r="I61" s="90" t="s">
        <v>277</v>
      </c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spans="1:26" ht="92.4" x14ac:dyDescent="0.3">
      <c r="A62" s="89" t="str">
        <f t="shared" si="0"/>
        <v>[Shop web Winsum Testing-49]</v>
      </c>
      <c r="B62" s="87" t="s">
        <v>855</v>
      </c>
      <c r="C62" s="87" t="s">
        <v>218</v>
      </c>
      <c r="D62" s="21" t="s">
        <v>856</v>
      </c>
      <c r="E62" s="88" t="s">
        <v>281</v>
      </c>
      <c r="F62" s="138" t="s">
        <v>14</v>
      </c>
      <c r="G62" s="86">
        <v>46220</v>
      </c>
      <c r="H62" s="89" t="str">
        <f t="shared" si="1"/>
        <v>Nhóm phát triển đồ án</v>
      </c>
      <c r="I62" s="90" t="s">
        <v>282</v>
      </c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spans="1:26" ht="92.4" x14ac:dyDescent="0.3">
      <c r="A63" s="89" t="str">
        <f t="shared" si="0"/>
        <v>[Shop web Winsum Testing-50]</v>
      </c>
      <c r="B63" s="87" t="s">
        <v>283</v>
      </c>
      <c r="C63" s="87" t="s">
        <v>218</v>
      </c>
      <c r="D63" s="21" t="s">
        <v>285</v>
      </c>
      <c r="E63" s="88" t="s">
        <v>286</v>
      </c>
      <c r="F63" s="138" t="s">
        <v>14</v>
      </c>
      <c r="G63" s="86">
        <v>46221</v>
      </c>
      <c r="H63" s="89" t="str">
        <f t="shared" si="1"/>
        <v>Nhóm phát triển đồ án</v>
      </c>
      <c r="I63" s="90" t="s">
        <v>287</v>
      </c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spans="1:26" ht="92.4" x14ac:dyDescent="0.3">
      <c r="A64" s="89" t="str">
        <f t="shared" si="0"/>
        <v>[Shop web Winsum Testing-51]</v>
      </c>
      <c r="B64" s="87" t="s">
        <v>288</v>
      </c>
      <c r="C64" s="87" t="s">
        <v>218</v>
      </c>
      <c r="D64" s="21" t="s">
        <v>290</v>
      </c>
      <c r="E64" s="88" t="s">
        <v>291</v>
      </c>
      <c r="F64" s="138" t="s">
        <v>14</v>
      </c>
      <c r="G64" s="86">
        <v>46222</v>
      </c>
      <c r="H64" s="89" t="str">
        <f t="shared" si="1"/>
        <v>Nhóm phát triển đồ án</v>
      </c>
      <c r="I64" s="90" t="s">
        <v>292</v>
      </c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spans="1:26" ht="92.4" x14ac:dyDescent="0.3">
      <c r="A65" s="89" t="str">
        <f t="shared" si="0"/>
        <v>[Shop web Winsum Testing-52]</v>
      </c>
      <c r="B65" s="87" t="s">
        <v>293</v>
      </c>
      <c r="C65" s="87" t="s">
        <v>218</v>
      </c>
      <c r="D65" s="21" t="s">
        <v>295</v>
      </c>
      <c r="E65" s="88" t="s">
        <v>296</v>
      </c>
      <c r="F65" s="138" t="s">
        <v>14</v>
      </c>
      <c r="G65" s="86">
        <v>46223</v>
      </c>
      <c r="H65" s="89" t="str">
        <f t="shared" si="1"/>
        <v>Nhóm phát triển đồ án</v>
      </c>
      <c r="I65" s="90" t="s">
        <v>297</v>
      </c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spans="1:26" ht="92.4" x14ac:dyDescent="0.3">
      <c r="A66" s="89" t="str">
        <f t="shared" si="0"/>
        <v>[Shop web Winsum Testing-53]</v>
      </c>
      <c r="B66" s="87" t="s">
        <v>298</v>
      </c>
      <c r="C66" s="87" t="s">
        <v>218</v>
      </c>
      <c r="D66" s="21" t="s">
        <v>300</v>
      </c>
      <c r="E66" s="88" t="s">
        <v>301</v>
      </c>
      <c r="F66" s="138" t="s">
        <v>14</v>
      </c>
      <c r="G66" s="86">
        <v>46224</v>
      </c>
      <c r="H66" s="89" t="str">
        <f t="shared" si="1"/>
        <v>Nhóm phát triển đồ án</v>
      </c>
      <c r="I66" s="90" t="s">
        <v>302</v>
      </c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spans="1:26" ht="92.4" x14ac:dyDescent="0.3">
      <c r="A67" s="89" t="str">
        <f t="shared" si="0"/>
        <v>[Shop web Winsum Testing-54]</v>
      </c>
      <c r="B67" s="87" t="s">
        <v>857</v>
      </c>
      <c r="C67" s="87" t="s">
        <v>218</v>
      </c>
      <c r="D67" s="21" t="s">
        <v>858</v>
      </c>
      <c r="E67" s="88" t="s">
        <v>859</v>
      </c>
      <c r="F67" s="138" t="s">
        <v>14</v>
      </c>
      <c r="G67" s="86">
        <v>46225</v>
      </c>
      <c r="H67" s="89" t="str">
        <f t="shared" si="1"/>
        <v>Nhóm phát triển đồ án</v>
      </c>
      <c r="I67" s="90" t="s">
        <v>307</v>
      </c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spans="1:26" ht="92.4" x14ac:dyDescent="0.3">
      <c r="A68" s="89" t="str">
        <f t="shared" si="0"/>
        <v>[Shop web Winsum Testing-55]</v>
      </c>
      <c r="B68" s="87" t="s">
        <v>283</v>
      </c>
      <c r="C68" s="87" t="s">
        <v>218</v>
      </c>
      <c r="D68" s="21" t="s">
        <v>860</v>
      </c>
      <c r="E68" s="88" t="s">
        <v>311</v>
      </c>
      <c r="F68" s="138" t="s">
        <v>14</v>
      </c>
      <c r="G68" s="86">
        <v>46226</v>
      </c>
      <c r="H68" s="89" t="str">
        <f t="shared" si="1"/>
        <v>Nhóm phát triển đồ án</v>
      </c>
      <c r="I68" s="90" t="s">
        <v>312</v>
      </c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spans="1:26" ht="92.4" x14ac:dyDescent="0.3">
      <c r="A69" s="89" t="str">
        <f t="shared" si="0"/>
        <v>[Shop web Winsum Testing-56]</v>
      </c>
      <c r="B69" s="87" t="s">
        <v>313</v>
      </c>
      <c r="C69" s="87" t="s">
        <v>218</v>
      </c>
      <c r="D69" s="21" t="s">
        <v>315</v>
      </c>
      <c r="E69" s="88" t="s">
        <v>316</v>
      </c>
      <c r="F69" s="138" t="s">
        <v>14</v>
      </c>
      <c r="G69" s="86">
        <v>46227</v>
      </c>
      <c r="H69" s="89" t="str">
        <f t="shared" si="1"/>
        <v>Nhóm phát triển đồ án</v>
      </c>
      <c r="I69" s="90" t="s">
        <v>317</v>
      </c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spans="1:26" ht="92.4" x14ac:dyDescent="0.3">
      <c r="A70" s="89" t="str">
        <f t="shared" si="0"/>
        <v>[Shop web Winsum Testing-57]</v>
      </c>
      <c r="B70" s="87" t="s">
        <v>318</v>
      </c>
      <c r="C70" s="87" t="s">
        <v>218</v>
      </c>
      <c r="D70" s="21" t="s">
        <v>320</v>
      </c>
      <c r="E70" s="88" t="s">
        <v>321</v>
      </c>
      <c r="F70" s="138" t="s">
        <v>14</v>
      </c>
      <c r="G70" s="86">
        <v>46228</v>
      </c>
      <c r="H70" s="89" t="str">
        <f t="shared" si="1"/>
        <v>Nhóm phát triển đồ án</v>
      </c>
      <c r="I70" s="90" t="s">
        <v>322</v>
      </c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spans="1:26" ht="92.4" x14ac:dyDescent="0.3">
      <c r="A71" s="89" t="str">
        <f t="shared" si="0"/>
        <v>[Shop web Winsum Testing-58]</v>
      </c>
      <c r="B71" s="87" t="s">
        <v>323</v>
      </c>
      <c r="C71" s="87" t="s">
        <v>218</v>
      </c>
      <c r="D71" s="21" t="s">
        <v>325</v>
      </c>
      <c r="E71" s="88" t="s">
        <v>326</v>
      </c>
      <c r="F71" s="138" t="s">
        <v>14</v>
      </c>
      <c r="G71" s="86">
        <v>46229</v>
      </c>
      <c r="H71" s="89" t="str">
        <f t="shared" si="1"/>
        <v>Nhóm phát triển đồ án</v>
      </c>
      <c r="I71" s="90" t="s">
        <v>327</v>
      </c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spans="1:26" ht="92.4" x14ac:dyDescent="0.3">
      <c r="A72" s="89" t="str">
        <f t="shared" si="0"/>
        <v>[Shop web Winsum Testing-59]</v>
      </c>
      <c r="B72" s="87" t="s">
        <v>328</v>
      </c>
      <c r="C72" s="87" t="s">
        <v>218</v>
      </c>
      <c r="D72" s="21" t="s">
        <v>330</v>
      </c>
      <c r="E72" s="88" t="s">
        <v>331</v>
      </c>
      <c r="F72" s="138" t="s">
        <v>14</v>
      </c>
      <c r="G72" s="86">
        <v>46230</v>
      </c>
      <c r="H72" s="89" t="str">
        <f t="shared" si="1"/>
        <v>Nhóm phát triển đồ án</v>
      </c>
      <c r="I72" s="90" t="s">
        <v>332</v>
      </c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spans="1:26" ht="92.4" x14ac:dyDescent="0.3">
      <c r="A73" s="89" t="str">
        <f t="shared" si="0"/>
        <v>[Shop web Winsum Testing-60]</v>
      </c>
      <c r="B73" s="87" t="s">
        <v>333</v>
      </c>
      <c r="C73" s="87" t="s">
        <v>218</v>
      </c>
      <c r="D73" s="21" t="s">
        <v>335</v>
      </c>
      <c r="E73" s="88" t="s">
        <v>336</v>
      </c>
      <c r="F73" s="138" t="s">
        <v>14</v>
      </c>
      <c r="G73" s="86">
        <v>46231</v>
      </c>
      <c r="H73" s="89" t="str">
        <f t="shared" si="1"/>
        <v>Nhóm phát triển đồ án</v>
      </c>
      <c r="I73" s="90" t="s">
        <v>337</v>
      </c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spans="1:26" ht="92.4" x14ac:dyDescent="0.3">
      <c r="A74" s="89" t="str">
        <f t="shared" si="0"/>
        <v>[Shop web Winsum Testing-61]</v>
      </c>
      <c r="B74" s="87" t="s">
        <v>338</v>
      </c>
      <c r="C74" s="87" t="s">
        <v>218</v>
      </c>
      <c r="D74" s="21" t="s">
        <v>340</v>
      </c>
      <c r="E74" s="88" t="s">
        <v>341</v>
      </c>
      <c r="F74" s="138" t="s">
        <v>14</v>
      </c>
      <c r="G74" s="86">
        <v>46232</v>
      </c>
      <c r="H74" s="89" t="str">
        <f t="shared" si="1"/>
        <v>Nhóm phát triển đồ án</v>
      </c>
      <c r="I74" s="90" t="s">
        <v>342</v>
      </c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spans="1:26" ht="92.4" x14ac:dyDescent="0.3">
      <c r="A75" s="89" t="str">
        <f t="shared" si="0"/>
        <v>[Shop web Winsum Testing-62]</v>
      </c>
      <c r="B75" s="87" t="s">
        <v>343</v>
      </c>
      <c r="C75" s="87" t="s">
        <v>218</v>
      </c>
      <c r="D75" s="21" t="s">
        <v>345</v>
      </c>
      <c r="E75" s="88" t="s">
        <v>346</v>
      </c>
      <c r="F75" s="138" t="s">
        <v>14</v>
      </c>
      <c r="G75" s="86">
        <v>46233</v>
      </c>
      <c r="H75" s="89" t="str">
        <f t="shared" si="1"/>
        <v>Nhóm phát triển đồ án</v>
      </c>
      <c r="I75" s="90" t="s">
        <v>347</v>
      </c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spans="1:26" ht="92.4" x14ac:dyDescent="0.3">
      <c r="A76" s="89" t="str">
        <f t="shared" si="0"/>
        <v>[Shop web Winsum Testing-63]</v>
      </c>
      <c r="B76" s="87" t="s">
        <v>348</v>
      </c>
      <c r="C76" s="87" t="s">
        <v>218</v>
      </c>
      <c r="D76" s="21" t="s">
        <v>350</v>
      </c>
      <c r="E76" s="88" t="s">
        <v>351</v>
      </c>
      <c r="F76" s="138" t="s">
        <v>14</v>
      </c>
      <c r="G76" s="86">
        <v>46234</v>
      </c>
      <c r="H76" s="89" t="str">
        <f t="shared" si="1"/>
        <v>Nhóm phát triển đồ án</v>
      </c>
      <c r="I76" s="90" t="s">
        <v>352</v>
      </c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spans="1:26" ht="92.4" x14ac:dyDescent="0.3">
      <c r="A77" s="89" t="str">
        <f t="shared" si="0"/>
        <v>[Shop web Winsum Testing-64]</v>
      </c>
      <c r="B77" s="87" t="s">
        <v>353</v>
      </c>
      <c r="C77" s="87" t="s">
        <v>218</v>
      </c>
      <c r="D77" s="21" t="s">
        <v>355</v>
      </c>
      <c r="E77" s="88" t="s">
        <v>356</v>
      </c>
      <c r="F77" s="138" t="s">
        <v>14</v>
      </c>
      <c r="G77" s="86">
        <v>46235</v>
      </c>
      <c r="H77" s="89" t="str">
        <f t="shared" si="1"/>
        <v>Nhóm phát triển đồ án</v>
      </c>
      <c r="I77" s="90" t="s">
        <v>357</v>
      </c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spans="1:26" ht="92.4" x14ac:dyDescent="0.3">
      <c r="A78" s="89" t="str">
        <f t="shared" si="0"/>
        <v>[Shop web Winsum Testing-65]</v>
      </c>
      <c r="B78" s="87" t="s">
        <v>358</v>
      </c>
      <c r="C78" s="87" t="s">
        <v>218</v>
      </c>
      <c r="D78" s="21" t="s">
        <v>360</v>
      </c>
      <c r="E78" s="88" t="s">
        <v>361</v>
      </c>
      <c r="F78" s="138" t="s">
        <v>14</v>
      </c>
      <c r="G78" s="86">
        <v>46236</v>
      </c>
      <c r="H78" s="89" t="str">
        <f t="shared" si="1"/>
        <v>Nhóm phát triển đồ án</v>
      </c>
      <c r="I78" s="90" t="s">
        <v>362</v>
      </c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spans="1:26" ht="92.4" x14ac:dyDescent="0.3">
      <c r="A79" s="89" t="str">
        <f t="shared" si="0"/>
        <v>[Shop web Winsum Testing-66]</v>
      </c>
      <c r="B79" s="87" t="s">
        <v>363</v>
      </c>
      <c r="C79" s="87" t="s">
        <v>218</v>
      </c>
      <c r="D79" s="21" t="s">
        <v>365</v>
      </c>
      <c r="E79" s="88" t="s">
        <v>366</v>
      </c>
      <c r="F79" s="138" t="s">
        <v>14</v>
      </c>
      <c r="G79" s="86">
        <v>46237</v>
      </c>
      <c r="H79" s="89" t="str">
        <f t="shared" si="1"/>
        <v>Nhóm phát triển đồ án</v>
      </c>
      <c r="I79" s="90" t="s">
        <v>367</v>
      </c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spans="1:26" ht="92.4" x14ac:dyDescent="0.3">
      <c r="A80" s="89" t="str">
        <f t="shared" si="0"/>
        <v>[Shop web Winsum Testing-67]</v>
      </c>
      <c r="B80" s="87" t="s">
        <v>368</v>
      </c>
      <c r="C80" s="87" t="s">
        <v>218</v>
      </c>
      <c r="D80" s="21" t="s">
        <v>370</v>
      </c>
      <c r="E80" s="88" t="s">
        <v>371</v>
      </c>
      <c r="F80" s="138" t="s">
        <v>14</v>
      </c>
      <c r="G80" s="86">
        <v>46238</v>
      </c>
      <c r="H80" s="89" t="str">
        <f t="shared" si="1"/>
        <v>Nhóm phát triển đồ án</v>
      </c>
      <c r="I80" s="90" t="s">
        <v>372</v>
      </c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spans="1:26" ht="92.4" x14ac:dyDescent="0.3">
      <c r="A81" s="89" t="str">
        <f t="shared" si="0"/>
        <v>[Shop web Winsum Testing-68]</v>
      </c>
      <c r="B81" s="87" t="s">
        <v>373</v>
      </c>
      <c r="C81" s="87" t="s">
        <v>218</v>
      </c>
      <c r="D81" s="21" t="s">
        <v>375</v>
      </c>
      <c r="E81" s="88" t="s">
        <v>376</v>
      </c>
      <c r="F81" s="138" t="s">
        <v>14</v>
      </c>
      <c r="G81" s="86">
        <v>46239</v>
      </c>
      <c r="H81" s="89" t="str">
        <f t="shared" si="1"/>
        <v>Nhóm phát triển đồ án</v>
      </c>
      <c r="I81" s="90" t="s">
        <v>377</v>
      </c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spans="1:26" ht="14.25" customHeight="1" x14ac:dyDescent="0.3">
      <c r="A82" s="81"/>
      <c r="B82" s="81" t="s">
        <v>378</v>
      </c>
      <c r="C82" s="82"/>
      <c r="D82" s="82"/>
      <c r="E82" s="82"/>
      <c r="F82" s="82"/>
      <c r="G82" s="86">
        <v>46240</v>
      </c>
      <c r="H82" s="89" t="str">
        <f>B3</f>
        <v>Nhóm phát triển đồ án</v>
      </c>
      <c r="I82" s="84"/>
      <c r="J82" s="85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92.4" x14ac:dyDescent="0.3">
      <c r="A83" s="89" t="str">
        <f t="shared" si="0"/>
        <v>[Shop web Winsum Testing-69]</v>
      </c>
      <c r="B83" s="87" t="s">
        <v>379</v>
      </c>
      <c r="C83" s="87" t="s">
        <v>852</v>
      </c>
      <c r="D83" s="21" t="s">
        <v>381</v>
      </c>
      <c r="E83" s="88" t="s">
        <v>382</v>
      </c>
      <c r="F83" s="138" t="s">
        <v>14</v>
      </c>
      <c r="G83" s="86">
        <v>46241</v>
      </c>
      <c r="H83" s="89" t="str">
        <f t="shared" si="1"/>
        <v>Nhóm phát triển đồ án</v>
      </c>
      <c r="I83" s="90" t="s">
        <v>383</v>
      </c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1:26" ht="92.4" x14ac:dyDescent="0.3">
      <c r="A84" s="89" t="str">
        <f t="shared" si="0"/>
        <v>[Shop web Winsum Testing-70]</v>
      </c>
      <c r="B84" s="87" t="s">
        <v>384</v>
      </c>
      <c r="C84" s="87" t="s">
        <v>852</v>
      </c>
      <c r="D84" s="21" t="s">
        <v>386</v>
      </c>
      <c r="E84" s="88" t="s">
        <v>387</v>
      </c>
      <c r="F84" s="138" t="s">
        <v>14</v>
      </c>
      <c r="G84" s="86">
        <v>46242</v>
      </c>
      <c r="H84" s="89" t="str">
        <f t="shared" si="1"/>
        <v>Nhóm phát triển đồ án</v>
      </c>
      <c r="I84" s="90" t="s">
        <v>388</v>
      </c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1:26" ht="92.4" x14ac:dyDescent="0.3">
      <c r="A85" s="89" t="str">
        <f t="shared" si="0"/>
        <v>[Shop web Winsum Testing-71]</v>
      </c>
      <c r="B85" s="87" t="s">
        <v>389</v>
      </c>
      <c r="C85" s="87" t="s">
        <v>852</v>
      </c>
      <c r="D85" s="21" t="s">
        <v>391</v>
      </c>
      <c r="E85" s="88" t="s">
        <v>392</v>
      </c>
      <c r="F85" s="138" t="s">
        <v>14</v>
      </c>
      <c r="G85" s="86">
        <v>46243</v>
      </c>
      <c r="H85" s="89" t="str">
        <f t="shared" si="1"/>
        <v>Nhóm phát triển đồ án</v>
      </c>
      <c r="I85" s="90" t="s">
        <v>393</v>
      </c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spans="1:26" ht="92.4" x14ac:dyDescent="0.3">
      <c r="A86" s="89" t="str">
        <f t="shared" si="0"/>
        <v>[Shop web Winsum Testing-72]</v>
      </c>
      <c r="B86" s="87" t="s">
        <v>394</v>
      </c>
      <c r="C86" s="87" t="s">
        <v>852</v>
      </c>
      <c r="D86" s="21" t="s">
        <v>396</v>
      </c>
      <c r="E86" s="88" t="s">
        <v>397</v>
      </c>
      <c r="F86" s="138" t="s">
        <v>14</v>
      </c>
      <c r="G86" s="86">
        <v>46244</v>
      </c>
      <c r="H86" s="89" t="str">
        <f t="shared" si="1"/>
        <v>Nhóm phát triển đồ án</v>
      </c>
      <c r="I86" s="90" t="s">
        <v>398</v>
      </c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spans="1:26" ht="92.4" x14ac:dyDescent="0.3">
      <c r="A87" s="89" t="str">
        <f t="shared" si="0"/>
        <v>[Shop web Winsum Testing-73]</v>
      </c>
      <c r="B87" s="87" t="s">
        <v>399</v>
      </c>
      <c r="C87" s="87" t="s">
        <v>852</v>
      </c>
      <c r="D87" s="21" t="s">
        <v>401</v>
      </c>
      <c r="E87" s="88" t="s">
        <v>402</v>
      </c>
      <c r="F87" s="138" t="s">
        <v>14</v>
      </c>
      <c r="G87" s="86">
        <v>46245</v>
      </c>
      <c r="H87" s="89" t="str">
        <f t="shared" si="1"/>
        <v>Nhóm phát triển đồ án</v>
      </c>
      <c r="I87" s="90" t="s">
        <v>403</v>
      </c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spans="1:26" ht="92.4" x14ac:dyDescent="0.3">
      <c r="A88" s="89" t="str">
        <f t="shared" si="0"/>
        <v>[Shop web Winsum Testing-74]</v>
      </c>
      <c r="B88" s="87" t="s">
        <v>404</v>
      </c>
      <c r="C88" s="87" t="s">
        <v>852</v>
      </c>
      <c r="D88" s="21" t="s">
        <v>406</v>
      </c>
      <c r="E88" s="88" t="s">
        <v>407</v>
      </c>
      <c r="F88" s="138" t="s">
        <v>14</v>
      </c>
      <c r="G88" s="86">
        <v>46246</v>
      </c>
      <c r="H88" s="89" t="str">
        <f t="shared" si="1"/>
        <v>Nhóm phát triển đồ án</v>
      </c>
      <c r="I88" s="90" t="s">
        <v>408</v>
      </c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spans="1:26" ht="92.4" x14ac:dyDescent="0.3">
      <c r="A89" s="89" t="str">
        <f t="shared" si="0"/>
        <v>[Shop web Winsum Testing-75]</v>
      </c>
      <c r="B89" s="87" t="s">
        <v>409</v>
      </c>
      <c r="C89" s="87" t="s">
        <v>852</v>
      </c>
      <c r="D89" s="21" t="s">
        <v>411</v>
      </c>
      <c r="E89" s="88" t="s">
        <v>412</v>
      </c>
      <c r="F89" s="138" t="s">
        <v>14</v>
      </c>
      <c r="G89" s="86">
        <v>46247</v>
      </c>
      <c r="H89" s="89" t="str">
        <f t="shared" si="1"/>
        <v>Nhóm phát triển đồ án</v>
      </c>
      <c r="I89" s="90" t="s">
        <v>413</v>
      </c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spans="1:26" ht="14.25" customHeight="1" x14ac:dyDescent="0.3">
      <c r="A90" s="81"/>
      <c r="B90" s="81" t="s">
        <v>414</v>
      </c>
      <c r="C90" s="82"/>
      <c r="D90" s="82"/>
      <c r="E90" s="82"/>
      <c r="F90" s="82"/>
      <c r="G90" s="86">
        <v>46248</v>
      </c>
      <c r="H90" s="89" t="str">
        <f>B3</f>
        <v>Nhóm phát triển đồ án</v>
      </c>
      <c r="I90" s="84"/>
      <c r="J90" s="85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92.4" x14ac:dyDescent="0.3">
      <c r="A91" s="89" t="str">
        <f t="shared" si="0"/>
        <v>[Shop web Winsum Testing-76]</v>
      </c>
      <c r="B91" s="87" t="s">
        <v>415</v>
      </c>
      <c r="C91" s="87" t="s">
        <v>852</v>
      </c>
      <c r="D91" s="21" t="s">
        <v>417</v>
      </c>
      <c r="E91" s="88" t="s">
        <v>418</v>
      </c>
      <c r="F91" s="138" t="s">
        <v>14</v>
      </c>
      <c r="G91" s="86">
        <v>46249</v>
      </c>
      <c r="H91" s="89" t="str">
        <f t="shared" si="1"/>
        <v>Nhóm phát triển đồ án</v>
      </c>
      <c r="I91" s="90" t="s">
        <v>419</v>
      </c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spans="1:26" ht="92.4" x14ac:dyDescent="0.3">
      <c r="A92" s="89" t="str">
        <f t="shared" si="0"/>
        <v>[Shop web Winsum Testing-77]</v>
      </c>
      <c r="B92" s="87" t="s">
        <v>420</v>
      </c>
      <c r="C92" s="87" t="s">
        <v>852</v>
      </c>
      <c r="D92" s="21" t="s">
        <v>422</v>
      </c>
      <c r="E92" s="88" t="s">
        <v>423</v>
      </c>
      <c r="F92" s="138" t="s">
        <v>14</v>
      </c>
      <c r="G92" s="86">
        <v>46250</v>
      </c>
      <c r="H92" s="89" t="str">
        <f t="shared" si="1"/>
        <v>Nhóm phát triển đồ án</v>
      </c>
      <c r="I92" s="90" t="s">
        <v>424</v>
      </c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spans="1:26" ht="92.4" x14ac:dyDescent="0.3">
      <c r="A93" s="89" t="str">
        <f t="shared" si="0"/>
        <v>[Shop web Winsum Testing-78]</v>
      </c>
      <c r="B93" s="87" t="s">
        <v>425</v>
      </c>
      <c r="C93" s="87" t="s">
        <v>852</v>
      </c>
      <c r="D93" s="21" t="s">
        <v>427</v>
      </c>
      <c r="E93" s="88" t="s">
        <v>428</v>
      </c>
      <c r="F93" s="138" t="s">
        <v>14</v>
      </c>
      <c r="G93" s="86">
        <v>46251</v>
      </c>
      <c r="H93" s="89" t="str">
        <f t="shared" si="1"/>
        <v>Nhóm phát triển đồ án</v>
      </c>
      <c r="I93" s="90" t="s">
        <v>429</v>
      </c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spans="1:26" ht="92.4" x14ac:dyDescent="0.3">
      <c r="A94" s="89" t="str">
        <f t="shared" si="0"/>
        <v>[Shop web Winsum Testing-79]</v>
      </c>
      <c r="B94" s="87" t="s">
        <v>430</v>
      </c>
      <c r="C94" s="87" t="s">
        <v>852</v>
      </c>
      <c r="D94" s="21" t="s">
        <v>432</v>
      </c>
      <c r="E94" s="88" t="s">
        <v>433</v>
      </c>
      <c r="F94" s="138" t="s">
        <v>14</v>
      </c>
      <c r="G94" s="86">
        <v>46252</v>
      </c>
      <c r="H94" s="89" t="str">
        <f t="shared" si="1"/>
        <v>Nhóm phát triển đồ án</v>
      </c>
      <c r="I94" s="90" t="s">
        <v>434</v>
      </c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spans="1:26" ht="92.4" x14ac:dyDescent="0.3">
      <c r="A95" s="89" t="str">
        <f t="shared" si="0"/>
        <v>[Shop web Winsum Testing-80]</v>
      </c>
      <c r="B95" s="87" t="s">
        <v>435</v>
      </c>
      <c r="C95" s="87" t="s">
        <v>852</v>
      </c>
      <c r="D95" s="21" t="s">
        <v>437</v>
      </c>
      <c r="E95" s="88" t="s">
        <v>861</v>
      </c>
      <c r="F95" s="138" t="s">
        <v>14</v>
      </c>
      <c r="G95" s="86">
        <v>46253</v>
      </c>
      <c r="H95" s="89" t="str">
        <f t="shared" si="1"/>
        <v>Nhóm phát triển đồ án</v>
      </c>
      <c r="I95" s="90" t="s">
        <v>439</v>
      </c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spans="1:26" ht="92.4" x14ac:dyDescent="0.3">
      <c r="A96" s="89" t="str">
        <f t="shared" si="0"/>
        <v>[Shop web Winsum Testing-81]</v>
      </c>
      <c r="B96" s="87" t="s">
        <v>862</v>
      </c>
      <c r="C96" s="87" t="s">
        <v>852</v>
      </c>
      <c r="D96" s="21" t="s">
        <v>863</v>
      </c>
      <c r="E96" s="88" t="s">
        <v>864</v>
      </c>
      <c r="F96" s="138" t="s">
        <v>14</v>
      </c>
      <c r="G96" s="86">
        <v>46254</v>
      </c>
      <c r="H96" s="89" t="str">
        <f t="shared" si="1"/>
        <v>Nhóm phát triển đồ án</v>
      </c>
      <c r="I96" s="90" t="s">
        <v>444</v>
      </c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spans="1:26" ht="92.4" x14ac:dyDescent="0.3">
      <c r="A97" s="89" t="str">
        <f t="shared" si="0"/>
        <v>[Shop web Winsum Testing-82]</v>
      </c>
      <c r="B97" s="87" t="s">
        <v>445</v>
      </c>
      <c r="C97" s="87" t="s">
        <v>852</v>
      </c>
      <c r="D97" s="21" t="s">
        <v>447</v>
      </c>
      <c r="E97" s="88" t="s">
        <v>448</v>
      </c>
      <c r="F97" s="138" t="s">
        <v>14</v>
      </c>
      <c r="G97" s="86">
        <v>46255</v>
      </c>
      <c r="H97" s="89" t="str">
        <f t="shared" si="1"/>
        <v>Nhóm phát triển đồ án</v>
      </c>
      <c r="I97" s="90" t="s">
        <v>449</v>
      </c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spans="1:26" ht="92.4" x14ac:dyDescent="0.3">
      <c r="A98" s="89" t="str">
        <f t="shared" si="0"/>
        <v>[Shop web Winsum Testing-83]</v>
      </c>
      <c r="B98" s="87" t="s">
        <v>450</v>
      </c>
      <c r="C98" s="87" t="s">
        <v>852</v>
      </c>
      <c r="D98" s="21" t="s">
        <v>452</v>
      </c>
      <c r="E98" s="88" t="s">
        <v>453</v>
      </c>
      <c r="F98" s="138" t="s">
        <v>14</v>
      </c>
      <c r="G98" s="86">
        <v>46256</v>
      </c>
      <c r="H98" s="89" t="str">
        <f t="shared" si="1"/>
        <v>Nhóm phát triển đồ án</v>
      </c>
      <c r="I98" s="90" t="s">
        <v>454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spans="1:26" ht="14.25" customHeight="1" x14ac:dyDescent="0.3">
      <c r="A99" s="81"/>
      <c r="B99" s="81" t="s">
        <v>455</v>
      </c>
      <c r="C99" s="82"/>
      <c r="D99" s="82"/>
      <c r="E99" s="82"/>
      <c r="F99" s="82"/>
      <c r="G99" s="86">
        <v>46257</v>
      </c>
      <c r="H99" s="89" t="str">
        <f>B3</f>
        <v>Nhóm phát triển đồ án</v>
      </c>
      <c r="I99" s="84"/>
      <c r="J99" s="85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92.4" x14ac:dyDescent="0.3">
      <c r="A100" s="89" t="str">
        <f t="shared" si="0"/>
        <v>[Shop web Winsum Testing-84]</v>
      </c>
      <c r="B100" s="87" t="s">
        <v>456</v>
      </c>
      <c r="C100" s="87" t="s">
        <v>457</v>
      </c>
      <c r="D100" s="21" t="s">
        <v>458</v>
      </c>
      <c r="E100" s="88" t="s">
        <v>459</v>
      </c>
      <c r="F100" s="138" t="s">
        <v>14</v>
      </c>
      <c r="G100" s="86">
        <v>46258</v>
      </c>
      <c r="H100" s="89" t="str">
        <f t="shared" si="1"/>
        <v>Nhóm phát triển đồ án</v>
      </c>
      <c r="I100" s="90" t="s">
        <v>460</v>
      </c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spans="1:26" ht="92.4" x14ac:dyDescent="0.3">
      <c r="A101" s="89" t="str">
        <f t="shared" si="0"/>
        <v>[Shop web Winsum Testing-85]</v>
      </c>
      <c r="B101" s="87" t="s">
        <v>461</v>
      </c>
      <c r="C101" s="87" t="s">
        <v>457</v>
      </c>
      <c r="D101" s="21" t="s">
        <v>463</v>
      </c>
      <c r="E101" s="88" t="s">
        <v>464</v>
      </c>
      <c r="F101" s="138" t="s">
        <v>14</v>
      </c>
      <c r="G101" s="86">
        <v>46259</v>
      </c>
      <c r="H101" s="89" t="str">
        <f t="shared" si="1"/>
        <v>Nhóm phát triển đồ án</v>
      </c>
      <c r="I101" s="90" t="s">
        <v>465</v>
      </c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spans="1:26" ht="92.4" x14ac:dyDescent="0.3">
      <c r="A102" s="89" t="str">
        <f t="shared" si="0"/>
        <v>[Shop web Winsum Testing-86]</v>
      </c>
      <c r="B102" s="87" t="s">
        <v>466</v>
      </c>
      <c r="C102" s="87" t="s">
        <v>457</v>
      </c>
      <c r="D102" s="21" t="s">
        <v>468</v>
      </c>
      <c r="E102" s="88" t="s">
        <v>865</v>
      </c>
      <c r="F102" s="138" t="s">
        <v>14</v>
      </c>
      <c r="G102" s="86">
        <v>46260</v>
      </c>
      <c r="H102" s="89" t="str">
        <f t="shared" si="1"/>
        <v>Nhóm phát triển đồ án</v>
      </c>
      <c r="I102" s="90" t="s">
        <v>470</v>
      </c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spans="1:26" ht="92.4" x14ac:dyDescent="0.3">
      <c r="A103" s="89" t="str">
        <f t="shared" si="0"/>
        <v>[Shop web Winsum Testing-87]</v>
      </c>
      <c r="B103" s="87" t="s">
        <v>471</v>
      </c>
      <c r="C103" s="87" t="s">
        <v>457</v>
      </c>
      <c r="D103" s="21" t="s">
        <v>473</v>
      </c>
      <c r="E103" s="88" t="s">
        <v>474</v>
      </c>
      <c r="F103" s="138" t="s">
        <v>14</v>
      </c>
      <c r="G103" s="86">
        <v>46261</v>
      </c>
      <c r="H103" s="89" t="str">
        <f t="shared" si="1"/>
        <v>Nhóm phát triển đồ án</v>
      </c>
      <c r="I103" s="90" t="s">
        <v>475</v>
      </c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spans="1:26" ht="92.4" x14ac:dyDescent="0.3">
      <c r="A104" s="89" t="str">
        <f t="shared" si="0"/>
        <v>[Shop web Winsum Testing-88]</v>
      </c>
      <c r="B104" s="87" t="s">
        <v>866</v>
      </c>
      <c r="C104" s="87" t="s">
        <v>457</v>
      </c>
      <c r="D104" s="21" t="s">
        <v>867</v>
      </c>
      <c r="E104" s="88" t="s">
        <v>868</v>
      </c>
      <c r="F104" s="138" t="s">
        <v>14</v>
      </c>
      <c r="G104" s="86">
        <v>46262</v>
      </c>
      <c r="H104" s="89" t="str">
        <f t="shared" si="1"/>
        <v>Nhóm phát triển đồ án</v>
      </c>
      <c r="I104" s="90" t="s">
        <v>480</v>
      </c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spans="1:26" ht="92.4" x14ac:dyDescent="0.3">
      <c r="A105" s="89" t="str">
        <f t="shared" si="0"/>
        <v>[Shop web Winsum Testing-89]</v>
      </c>
      <c r="B105" s="87" t="s">
        <v>481</v>
      </c>
      <c r="C105" s="87" t="s">
        <v>457</v>
      </c>
      <c r="D105" s="21" t="s">
        <v>483</v>
      </c>
      <c r="E105" s="88" t="s">
        <v>484</v>
      </c>
      <c r="F105" s="138" t="s">
        <v>14</v>
      </c>
      <c r="G105" s="86">
        <v>46263</v>
      </c>
      <c r="H105" s="89" t="str">
        <f t="shared" si="1"/>
        <v>Nhóm phát triển đồ án</v>
      </c>
      <c r="I105" s="90" t="s">
        <v>485</v>
      </c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spans="1:26" ht="92.4" x14ac:dyDescent="0.3">
      <c r="A106" s="89" t="str">
        <f t="shared" si="0"/>
        <v>[Shop web Winsum Testing-90]</v>
      </c>
      <c r="B106" s="87" t="s">
        <v>486</v>
      </c>
      <c r="C106" s="87" t="s">
        <v>457</v>
      </c>
      <c r="D106" s="21" t="s">
        <v>488</v>
      </c>
      <c r="E106" s="88" t="s">
        <v>489</v>
      </c>
      <c r="F106" s="138" t="s">
        <v>14</v>
      </c>
      <c r="G106" s="86">
        <v>46264</v>
      </c>
      <c r="H106" s="89" t="str">
        <f t="shared" si="1"/>
        <v>Nhóm phát triển đồ án</v>
      </c>
      <c r="I106" s="90" t="s">
        <v>490</v>
      </c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spans="1:26" ht="92.4" x14ac:dyDescent="0.3">
      <c r="A107" s="89" t="str">
        <f t="shared" si="0"/>
        <v>[Shop web Winsum Testing-91]</v>
      </c>
      <c r="B107" s="87" t="s">
        <v>491</v>
      </c>
      <c r="C107" s="87" t="s">
        <v>457</v>
      </c>
      <c r="D107" s="21" t="s">
        <v>493</v>
      </c>
      <c r="E107" s="88" t="s">
        <v>494</v>
      </c>
      <c r="F107" s="138" t="s">
        <v>14</v>
      </c>
      <c r="G107" s="86">
        <v>46265</v>
      </c>
      <c r="H107" s="89" t="str">
        <f t="shared" si="1"/>
        <v>Nhóm phát triển đồ án</v>
      </c>
      <c r="I107" s="90" t="s">
        <v>495</v>
      </c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spans="1:26" ht="14.25" customHeight="1" x14ac:dyDescent="0.3">
      <c r="A108" s="81"/>
      <c r="B108" s="81" t="s">
        <v>496</v>
      </c>
      <c r="C108" s="82"/>
      <c r="D108" s="82"/>
      <c r="E108" s="82"/>
      <c r="F108" s="82"/>
      <c r="G108" s="86">
        <v>46266</v>
      </c>
      <c r="H108" s="89" t="str">
        <f>B3</f>
        <v>Nhóm phát triển đồ án</v>
      </c>
      <c r="I108" s="84"/>
      <c r="J108" s="85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92.4" x14ac:dyDescent="0.3">
      <c r="A109" s="89" t="str">
        <f t="shared" si="0"/>
        <v>[Shop web Winsum Testing-92]</v>
      </c>
      <c r="B109" s="87" t="s">
        <v>497</v>
      </c>
      <c r="C109" s="87" t="s">
        <v>457</v>
      </c>
      <c r="D109" s="21" t="s">
        <v>499</v>
      </c>
      <c r="E109" s="88" t="s">
        <v>500</v>
      </c>
      <c r="F109" s="138" t="s">
        <v>14</v>
      </c>
      <c r="G109" s="86">
        <v>46267</v>
      </c>
      <c r="H109" s="89" t="str">
        <f t="shared" si="1"/>
        <v>Nhóm phát triển đồ án</v>
      </c>
      <c r="I109" s="90" t="s">
        <v>501</v>
      </c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spans="1:26" ht="92.4" x14ac:dyDescent="0.3">
      <c r="A110" s="89" t="str">
        <f t="shared" si="0"/>
        <v>[Shop web Winsum Testing-93]</v>
      </c>
      <c r="B110" s="87" t="s">
        <v>502</v>
      </c>
      <c r="C110" s="87" t="s">
        <v>457</v>
      </c>
      <c r="D110" s="21" t="s">
        <v>504</v>
      </c>
      <c r="E110" s="88" t="s">
        <v>505</v>
      </c>
      <c r="F110" s="138" t="s">
        <v>14</v>
      </c>
      <c r="G110" s="86">
        <v>46268</v>
      </c>
      <c r="H110" s="89" t="str">
        <f t="shared" si="1"/>
        <v>Nhóm phát triển đồ án</v>
      </c>
      <c r="I110" s="90" t="s">
        <v>506</v>
      </c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spans="1:26" ht="92.4" x14ac:dyDescent="0.3">
      <c r="A111" s="89" t="str">
        <f t="shared" si="0"/>
        <v>[Shop web Winsum Testing-94]</v>
      </c>
      <c r="B111" s="87" t="s">
        <v>507</v>
      </c>
      <c r="C111" s="87" t="s">
        <v>457</v>
      </c>
      <c r="D111" s="21" t="s">
        <v>509</v>
      </c>
      <c r="E111" s="88" t="s">
        <v>510</v>
      </c>
      <c r="F111" s="138" t="s">
        <v>14</v>
      </c>
      <c r="G111" s="86">
        <v>46269</v>
      </c>
      <c r="H111" s="89" t="str">
        <f t="shared" si="1"/>
        <v>Nhóm phát triển đồ án</v>
      </c>
      <c r="I111" s="90" t="s">
        <v>511</v>
      </c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spans="1:26" ht="92.4" x14ac:dyDescent="0.3">
      <c r="A112" s="89" t="str">
        <f t="shared" si="0"/>
        <v>[Shop web Winsum Testing-95]</v>
      </c>
      <c r="B112" s="87" t="s">
        <v>512</v>
      </c>
      <c r="C112" s="87" t="s">
        <v>457</v>
      </c>
      <c r="D112" s="21" t="s">
        <v>514</v>
      </c>
      <c r="E112" s="88" t="s">
        <v>515</v>
      </c>
      <c r="F112" s="138" t="s">
        <v>14</v>
      </c>
      <c r="G112" s="86">
        <v>46270</v>
      </c>
      <c r="H112" s="89" t="str">
        <f t="shared" si="1"/>
        <v>Nhóm phát triển đồ án</v>
      </c>
      <c r="I112" s="90" t="s">
        <v>516</v>
      </c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spans="1:26" ht="92.4" x14ac:dyDescent="0.3">
      <c r="A113" s="89" t="str">
        <f t="shared" si="0"/>
        <v>[Shop web Winsum Testing-96]</v>
      </c>
      <c r="B113" s="87" t="s">
        <v>517</v>
      </c>
      <c r="C113" s="87" t="s">
        <v>457</v>
      </c>
      <c r="D113" s="21" t="s">
        <v>519</v>
      </c>
      <c r="E113" s="88" t="s">
        <v>520</v>
      </c>
      <c r="F113" s="138" t="s">
        <v>14</v>
      </c>
      <c r="G113" s="86">
        <v>46271</v>
      </c>
      <c r="H113" s="89" t="str">
        <f t="shared" si="1"/>
        <v>Nhóm phát triển đồ án</v>
      </c>
      <c r="I113" s="90" t="s">
        <v>521</v>
      </c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spans="1:26" ht="92.4" x14ac:dyDescent="0.3">
      <c r="A114" s="89" t="str">
        <f t="shared" si="0"/>
        <v>[Shop web Winsum Testing-97]</v>
      </c>
      <c r="B114" s="87" t="s">
        <v>522</v>
      </c>
      <c r="C114" s="87" t="s">
        <v>457</v>
      </c>
      <c r="D114" s="21" t="s">
        <v>524</v>
      </c>
      <c r="E114" s="88" t="s">
        <v>525</v>
      </c>
      <c r="F114" s="138" t="s">
        <v>14</v>
      </c>
      <c r="G114" s="86">
        <v>46272</v>
      </c>
      <c r="H114" s="89" t="str">
        <f t="shared" si="1"/>
        <v>Nhóm phát triển đồ án</v>
      </c>
      <c r="I114" s="90" t="s">
        <v>526</v>
      </c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spans="1:26" ht="92.4" x14ac:dyDescent="0.3">
      <c r="A115" s="89" t="str">
        <f t="shared" si="0"/>
        <v>[Shop web Winsum Testing-98]</v>
      </c>
      <c r="B115" s="87" t="s">
        <v>527</v>
      </c>
      <c r="C115" s="87" t="s">
        <v>457</v>
      </c>
      <c r="D115" s="21" t="s">
        <v>529</v>
      </c>
      <c r="E115" s="88" t="s">
        <v>530</v>
      </c>
      <c r="F115" s="138" t="s">
        <v>14</v>
      </c>
      <c r="G115" s="86">
        <v>46273</v>
      </c>
      <c r="H115" s="89" t="str">
        <f t="shared" si="1"/>
        <v>Nhóm phát triển đồ án</v>
      </c>
      <c r="I115" s="90" t="s">
        <v>531</v>
      </c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spans="1:26" ht="92.4" x14ac:dyDescent="0.3">
      <c r="A116" s="89" t="str">
        <f t="shared" si="0"/>
        <v>[Shop web Winsum Testing-99]</v>
      </c>
      <c r="B116" s="87" t="s">
        <v>532</v>
      </c>
      <c r="C116" s="87" t="s">
        <v>457</v>
      </c>
      <c r="D116" s="21" t="s">
        <v>534</v>
      </c>
      <c r="E116" s="88" t="s">
        <v>535</v>
      </c>
      <c r="F116" s="138" t="s">
        <v>14</v>
      </c>
      <c r="G116" s="86">
        <v>46274</v>
      </c>
      <c r="H116" s="89" t="str">
        <f t="shared" si="1"/>
        <v>Nhóm phát triển đồ án</v>
      </c>
      <c r="I116" s="90" t="s">
        <v>536</v>
      </c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spans="1:26" ht="92.4" x14ac:dyDescent="0.3">
      <c r="A117" s="89" t="str">
        <f t="shared" si="0"/>
        <v>[Shop web Winsum Testing-100]</v>
      </c>
      <c r="B117" s="87" t="s">
        <v>537</v>
      </c>
      <c r="C117" s="87" t="s">
        <v>457</v>
      </c>
      <c r="D117" s="21" t="s">
        <v>539</v>
      </c>
      <c r="E117" s="88" t="s">
        <v>540</v>
      </c>
      <c r="F117" s="138" t="s">
        <v>14</v>
      </c>
      <c r="G117" s="86">
        <v>46275</v>
      </c>
      <c r="H117" s="89" t="str">
        <f t="shared" si="1"/>
        <v>Nhóm phát triển đồ án</v>
      </c>
      <c r="I117" s="90" t="s">
        <v>541</v>
      </c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spans="1:26" ht="92.4" x14ac:dyDescent="0.3">
      <c r="A118" s="89" t="str">
        <f t="shared" si="0"/>
        <v>[Shop web Winsum Testing-101]</v>
      </c>
      <c r="B118" s="87" t="s">
        <v>542</v>
      </c>
      <c r="C118" s="87" t="s">
        <v>457</v>
      </c>
      <c r="D118" s="21" t="s">
        <v>544</v>
      </c>
      <c r="E118" s="88" t="s">
        <v>545</v>
      </c>
      <c r="F118" s="138" t="s">
        <v>14</v>
      </c>
      <c r="G118" s="86">
        <v>46276</v>
      </c>
      <c r="H118" s="89" t="str">
        <f t="shared" si="1"/>
        <v>Nhóm phát triển đồ án</v>
      </c>
      <c r="I118" s="90" t="s">
        <v>546</v>
      </c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spans="1:26" ht="14.25" customHeight="1" x14ac:dyDescent="0.3">
      <c r="A119" s="81"/>
      <c r="B119" s="81" t="s">
        <v>547</v>
      </c>
      <c r="C119" s="82"/>
      <c r="D119" s="82"/>
      <c r="E119" s="82"/>
      <c r="F119" s="82"/>
      <c r="G119" s="86">
        <v>46277</v>
      </c>
      <c r="H119" s="89" t="str">
        <f>B3</f>
        <v>Nhóm phát triển đồ án</v>
      </c>
      <c r="I119" s="84"/>
      <c r="J119" s="85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92.4" x14ac:dyDescent="0.3">
      <c r="A120" s="89" t="str">
        <f t="shared" si="0"/>
        <v>[Shop web Winsum Testing-102]</v>
      </c>
      <c r="B120" s="87" t="s">
        <v>268</v>
      </c>
      <c r="C120" s="87" t="s">
        <v>457</v>
      </c>
      <c r="D120" s="21" t="s">
        <v>550</v>
      </c>
      <c r="E120" s="88" t="s">
        <v>551</v>
      </c>
      <c r="F120" s="138" t="s">
        <v>14</v>
      </c>
      <c r="G120" s="86">
        <v>46278</v>
      </c>
      <c r="H120" s="89" t="str">
        <f t="shared" si="1"/>
        <v>Nhóm phát triển đồ án</v>
      </c>
      <c r="I120" s="90" t="s">
        <v>552</v>
      </c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spans="1:26" ht="92.4" x14ac:dyDescent="0.3">
      <c r="A121" s="89" t="str">
        <f t="shared" si="0"/>
        <v>[Shop web Winsum Testing-103]</v>
      </c>
      <c r="B121" s="87" t="s">
        <v>553</v>
      </c>
      <c r="C121" s="87" t="s">
        <v>457</v>
      </c>
      <c r="D121" s="21" t="s">
        <v>555</v>
      </c>
      <c r="E121" s="88" t="s">
        <v>869</v>
      </c>
      <c r="F121" s="138" t="s">
        <v>14</v>
      </c>
      <c r="G121" s="86">
        <v>46279</v>
      </c>
      <c r="H121" s="89" t="str">
        <f t="shared" si="1"/>
        <v>Nhóm phát triển đồ án</v>
      </c>
      <c r="I121" s="90" t="s">
        <v>557</v>
      </c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spans="1:26" ht="92.4" x14ac:dyDescent="0.3">
      <c r="A122" s="89" t="str">
        <f t="shared" si="0"/>
        <v>[Shop web Winsum Testing-104]</v>
      </c>
      <c r="B122" s="87" t="s">
        <v>558</v>
      </c>
      <c r="C122" s="87" t="s">
        <v>457</v>
      </c>
      <c r="D122" s="21" t="s">
        <v>560</v>
      </c>
      <c r="E122" s="88" t="s">
        <v>561</v>
      </c>
      <c r="F122" s="138" t="s">
        <v>14</v>
      </c>
      <c r="G122" s="86">
        <v>46280</v>
      </c>
      <c r="H122" s="89" t="str">
        <f t="shared" si="1"/>
        <v>Nhóm phát triển đồ án</v>
      </c>
      <c r="I122" s="90" t="s">
        <v>562</v>
      </c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spans="1:26" ht="92.4" x14ac:dyDescent="0.3">
      <c r="A123" s="89" t="str">
        <f t="shared" si="0"/>
        <v>[Shop web Winsum Testing-105]</v>
      </c>
      <c r="B123" s="87" t="s">
        <v>563</v>
      </c>
      <c r="C123" s="87" t="s">
        <v>457</v>
      </c>
      <c r="D123" s="21" t="s">
        <v>565</v>
      </c>
      <c r="E123" s="88" t="s">
        <v>566</v>
      </c>
      <c r="F123" s="138" t="s">
        <v>14</v>
      </c>
      <c r="G123" s="86">
        <v>46281</v>
      </c>
      <c r="H123" s="89" t="str">
        <f t="shared" si="1"/>
        <v>Nhóm phát triển đồ án</v>
      </c>
      <c r="I123" s="90" t="s">
        <v>567</v>
      </c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spans="1:26" ht="92.4" x14ac:dyDescent="0.3">
      <c r="A124" s="89" t="str">
        <f t="shared" si="0"/>
        <v>[Shop web Winsum Testing-106]</v>
      </c>
      <c r="B124" s="87" t="s">
        <v>870</v>
      </c>
      <c r="C124" s="87" t="s">
        <v>457</v>
      </c>
      <c r="D124" s="21" t="s">
        <v>871</v>
      </c>
      <c r="E124" s="88" t="s">
        <v>872</v>
      </c>
      <c r="F124" s="138" t="s">
        <v>14</v>
      </c>
      <c r="G124" s="86">
        <v>46282</v>
      </c>
      <c r="H124" s="89" t="str">
        <f t="shared" si="1"/>
        <v>Nhóm phát triển đồ án</v>
      </c>
      <c r="I124" s="90" t="s">
        <v>572</v>
      </c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spans="1:26" ht="92.4" x14ac:dyDescent="0.3">
      <c r="A125" s="89" t="str">
        <f t="shared" si="0"/>
        <v>[Shop web Winsum Testing-107]</v>
      </c>
      <c r="B125" s="87" t="s">
        <v>573</v>
      </c>
      <c r="C125" s="87" t="s">
        <v>457</v>
      </c>
      <c r="D125" s="21" t="s">
        <v>575</v>
      </c>
      <c r="E125" s="88" t="s">
        <v>576</v>
      </c>
      <c r="F125" s="138" t="s">
        <v>14</v>
      </c>
      <c r="G125" s="86">
        <v>46283</v>
      </c>
      <c r="H125" s="89" t="str">
        <f t="shared" si="1"/>
        <v>Nhóm phát triển đồ án</v>
      </c>
      <c r="I125" s="90" t="s">
        <v>577</v>
      </c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spans="1:26" ht="92.4" x14ac:dyDescent="0.3">
      <c r="A126" s="89" t="str">
        <f t="shared" si="0"/>
        <v>[Shop web Winsum Testing-108]</v>
      </c>
      <c r="B126" s="87" t="s">
        <v>578</v>
      </c>
      <c r="C126" s="87" t="s">
        <v>457</v>
      </c>
      <c r="D126" s="21" t="s">
        <v>580</v>
      </c>
      <c r="E126" s="88" t="s">
        <v>581</v>
      </c>
      <c r="F126" s="138" t="s">
        <v>14</v>
      </c>
      <c r="G126" s="86">
        <v>46284</v>
      </c>
      <c r="H126" s="89" t="str">
        <f t="shared" si="1"/>
        <v>Nhóm phát triển đồ án</v>
      </c>
      <c r="I126" s="90" t="s">
        <v>582</v>
      </c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spans="1:26" ht="92.4" x14ac:dyDescent="0.3">
      <c r="A127" s="89" t="str">
        <f t="shared" si="0"/>
        <v>[Shop web Winsum Testing-109]</v>
      </c>
      <c r="B127" s="87" t="s">
        <v>583</v>
      </c>
      <c r="C127" s="87" t="s">
        <v>457</v>
      </c>
      <c r="D127" s="21" t="s">
        <v>585</v>
      </c>
      <c r="E127" s="88" t="s">
        <v>586</v>
      </c>
      <c r="F127" s="138" t="s">
        <v>14</v>
      </c>
      <c r="G127" s="86">
        <v>46285</v>
      </c>
      <c r="H127" s="89" t="str">
        <f t="shared" si="1"/>
        <v>Nhóm phát triển đồ án</v>
      </c>
      <c r="I127" s="90" t="s">
        <v>587</v>
      </c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spans="1:26" ht="92.4" x14ac:dyDescent="0.3">
      <c r="A128" s="89" t="str">
        <f t="shared" si="0"/>
        <v>[Shop web Winsum Testing-110]</v>
      </c>
      <c r="B128" s="87" t="s">
        <v>588</v>
      </c>
      <c r="C128" s="87" t="s">
        <v>457</v>
      </c>
      <c r="D128" s="21" t="s">
        <v>590</v>
      </c>
      <c r="E128" s="88" t="s">
        <v>591</v>
      </c>
      <c r="F128" s="138" t="s">
        <v>14</v>
      </c>
      <c r="G128" s="86">
        <v>46286</v>
      </c>
      <c r="H128" s="89" t="str">
        <f t="shared" si="1"/>
        <v>Nhóm phát triển đồ án</v>
      </c>
      <c r="I128" s="90" t="s">
        <v>592</v>
      </c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spans="1:26" ht="92.4" x14ac:dyDescent="0.3">
      <c r="A129" s="89" t="str">
        <f t="shared" si="0"/>
        <v>[Shop web Winsum Testing-111]</v>
      </c>
      <c r="B129" s="87" t="s">
        <v>593</v>
      </c>
      <c r="C129" s="87" t="s">
        <v>457</v>
      </c>
      <c r="D129" s="21" t="s">
        <v>595</v>
      </c>
      <c r="E129" s="88" t="s">
        <v>596</v>
      </c>
      <c r="F129" s="138" t="s">
        <v>14</v>
      </c>
      <c r="G129" s="86">
        <v>46287</v>
      </c>
      <c r="H129" s="89" t="str">
        <f t="shared" si="1"/>
        <v>Nhóm phát triển đồ án</v>
      </c>
      <c r="I129" s="90" t="s">
        <v>597</v>
      </c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spans="1:26" ht="92.4" x14ac:dyDescent="0.3">
      <c r="A130" s="89" t="str">
        <f t="shared" si="0"/>
        <v>[Shop web Winsum Testing-112]</v>
      </c>
      <c r="B130" s="87" t="s">
        <v>598</v>
      </c>
      <c r="C130" s="87" t="s">
        <v>457</v>
      </c>
      <c r="D130" s="21" t="s">
        <v>600</v>
      </c>
      <c r="E130" s="88" t="s">
        <v>601</v>
      </c>
      <c r="F130" s="138" t="s">
        <v>14</v>
      </c>
      <c r="G130" s="86">
        <v>46288</v>
      </c>
      <c r="H130" s="89" t="str">
        <f t="shared" si="1"/>
        <v>Nhóm phát triển đồ án</v>
      </c>
      <c r="I130" s="90" t="s">
        <v>602</v>
      </c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spans="1:26" ht="92.4" x14ac:dyDescent="0.3">
      <c r="A131" s="89" t="str">
        <f t="shared" si="0"/>
        <v>[Shop web Winsum Testing-113]</v>
      </c>
      <c r="B131" s="87" t="s">
        <v>603</v>
      </c>
      <c r="C131" s="87" t="s">
        <v>457</v>
      </c>
      <c r="D131" s="21" t="s">
        <v>605</v>
      </c>
      <c r="E131" s="88" t="s">
        <v>606</v>
      </c>
      <c r="F131" s="138" t="s">
        <v>14</v>
      </c>
      <c r="G131" s="86">
        <v>46289</v>
      </c>
      <c r="H131" s="89" t="str">
        <f t="shared" si="1"/>
        <v>Nhóm phát triển đồ án</v>
      </c>
      <c r="I131" s="90" t="s">
        <v>607</v>
      </c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spans="1:26" ht="92.4" x14ac:dyDescent="0.3">
      <c r="A132" s="89" t="str">
        <f t="shared" si="0"/>
        <v>[Shop web Winsum Testing-114]</v>
      </c>
      <c r="B132" s="87" t="s">
        <v>608</v>
      </c>
      <c r="C132" s="87" t="s">
        <v>457</v>
      </c>
      <c r="D132" s="21" t="s">
        <v>610</v>
      </c>
      <c r="E132" s="88" t="s">
        <v>611</v>
      </c>
      <c r="F132" s="138" t="s">
        <v>14</v>
      </c>
      <c r="G132" s="86">
        <v>46290</v>
      </c>
      <c r="H132" s="89" t="str">
        <f t="shared" si="1"/>
        <v>Nhóm phát triển đồ án</v>
      </c>
      <c r="I132" s="90" t="s">
        <v>612</v>
      </c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spans="1:26" ht="92.4" x14ac:dyDescent="0.3">
      <c r="A133" s="89" t="str">
        <f t="shared" si="0"/>
        <v>[Shop web Winsum Testing-115]</v>
      </c>
      <c r="B133" s="87" t="s">
        <v>873</v>
      </c>
      <c r="C133" s="87" t="s">
        <v>457</v>
      </c>
      <c r="D133" s="21" t="s">
        <v>874</v>
      </c>
      <c r="E133" s="88" t="s">
        <v>875</v>
      </c>
      <c r="F133" s="138" t="s">
        <v>14</v>
      </c>
      <c r="G133" s="86">
        <v>46291</v>
      </c>
      <c r="H133" s="89" t="str">
        <f t="shared" si="1"/>
        <v>Nhóm phát triển đồ án</v>
      </c>
      <c r="I133" s="90" t="s">
        <v>617</v>
      </c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spans="1:26" ht="92.4" x14ac:dyDescent="0.3">
      <c r="A134" s="89" t="str">
        <f t="shared" si="0"/>
        <v>[Shop web Winsum Testing-116]</v>
      </c>
      <c r="B134" s="87" t="s">
        <v>618</v>
      </c>
      <c r="C134" s="87" t="s">
        <v>457</v>
      </c>
      <c r="D134" s="21" t="s">
        <v>620</v>
      </c>
      <c r="E134" s="88" t="s">
        <v>621</v>
      </c>
      <c r="F134" s="138" t="s">
        <v>14</v>
      </c>
      <c r="G134" s="86">
        <v>46292</v>
      </c>
      <c r="H134" s="89" t="str">
        <f t="shared" si="1"/>
        <v>Nhóm phát triển đồ án</v>
      </c>
      <c r="I134" s="90" t="s">
        <v>622</v>
      </c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spans="1:26" ht="14.25" customHeight="1" x14ac:dyDescent="0.3">
      <c r="A135" s="81"/>
      <c r="B135" s="81" t="s">
        <v>623</v>
      </c>
      <c r="C135" s="82"/>
      <c r="D135" s="82"/>
      <c r="E135" s="82"/>
      <c r="F135" s="82"/>
      <c r="G135" s="86">
        <v>46293</v>
      </c>
      <c r="H135" s="89" t="str">
        <f>B3</f>
        <v>Nhóm phát triển đồ án</v>
      </c>
      <c r="I135" s="84"/>
      <c r="J135" s="85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92.4" x14ac:dyDescent="0.3">
      <c r="A136" s="89" t="str">
        <f t="shared" si="0"/>
        <v>[Shop web Winsum Testing-117]</v>
      </c>
      <c r="B136" s="87" t="s">
        <v>624</v>
      </c>
      <c r="C136" s="87" t="s">
        <v>457</v>
      </c>
      <c r="D136" s="21" t="s">
        <v>626</v>
      </c>
      <c r="E136" s="88" t="s">
        <v>627</v>
      </c>
      <c r="F136" s="138" t="s">
        <v>14</v>
      </c>
      <c r="G136" s="86">
        <v>46294</v>
      </c>
      <c r="H136" s="89" t="str">
        <f t="shared" si="1"/>
        <v>Nhóm phát triển đồ án</v>
      </c>
      <c r="I136" s="90" t="s">
        <v>628</v>
      </c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spans="1:26" ht="92.4" x14ac:dyDescent="0.3">
      <c r="A137" s="89" t="str">
        <f t="shared" si="0"/>
        <v>[Shop web Winsum Testing-118]</v>
      </c>
      <c r="B137" s="87" t="s">
        <v>629</v>
      </c>
      <c r="C137" s="87" t="s">
        <v>457</v>
      </c>
      <c r="D137" s="21" t="s">
        <v>631</v>
      </c>
      <c r="E137" s="88" t="s">
        <v>632</v>
      </c>
      <c r="F137" s="138" t="s">
        <v>14</v>
      </c>
      <c r="G137" s="86">
        <v>46295</v>
      </c>
      <c r="H137" s="89" t="str">
        <f t="shared" si="1"/>
        <v>Nhóm phát triển đồ án</v>
      </c>
      <c r="I137" s="90" t="s">
        <v>633</v>
      </c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spans="1:26" ht="92.4" x14ac:dyDescent="0.3">
      <c r="A138" s="89" t="str">
        <f t="shared" si="0"/>
        <v>[Shop web Winsum Testing-119]</v>
      </c>
      <c r="B138" s="87" t="s">
        <v>634</v>
      </c>
      <c r="C138" s="87" t="s">
        <v>457</v>
      </c>
      <c r="D138" s="21" t="s">
        <v>636</v>
      </c>
      <c r="E138" s="88" t="s">
        <v>637</v>
      </c>
      <c r="F138" s="138" t="s">
        <v>14</v>
      </c>
      <c r="G138" s="86">
        <v>46296</v>
      </c>
      <c r="H138" s="89" t="str">
        <f t="shared" si="1"/>
        <v>Nhóm phát triển đồ án</v>
      </c>
      <c r="I138" s="90" t="s">
        <v>638</v>
      </c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spans="1:26" ht="92.4" x14ac:dyDescent="0.3">
      <c r="A139" s="89" t="str">
        <f t="shared" si="0"/>
        <v>[Shop web Winsum Testing-120]</v>
      </c>
      <c r="B139" s="87" t="s">
        <v>639</v>
      </c>
      <c r="C139" s="87" t="s">
        <v>457</v>
      </c>
      <c r="D139" s="21" t="s">
        <v>641</v>
      </c>
      <c r="E139" s="88" t="s">
        <v>642</v>
      </c>
      <c r="F139" s="138" t="s">
        <v>14</v>
      </c>
      <c r="G139" s="86">
        <v>46297</v>
      </c>
      <c r="H139" s="89" t="str">
        <f t="shared" si="1"/>
        <v>Nhóm phát triển đồ án</v>
      </c>
      <c r="I139" s="90" t="s">
        <v>643</v>
      </c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spans="1:26" ht="92.4" x14ac:dyDescent="0.3">
      <c r="A140" s="89" t="str">
        <f t="shared" si="0"/>
        <v>[Shop web Winsum Testing-121]</v>
      </c>
      <c r="B140" s="87" t="s">
        <v>644</v>
      </c>
      <c r="C140" s="87" t="s">
        <v>457</v>
      </c>
      <c r="D140" s="21" t="s">
        <v>646</v>
      </c>
      <c r="E140" s="88" t="s">
        <v>647</v>
      </c>
      <c r="F140" s="138" t="s">
        <v>14</v>
      </c>
      <c r="G140" s="86">
        <v>46298</v>
      </c>
      <c r="H140" s="89" t="str">
        <f t="shared" si="1"/>
        <v>Nhóm phát triển đồ án</v>
      </c>
      <c r="I140" s="90" t="s">
        <v>648</v>
      </c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spans="1:26" ht="92.4" x14ac:dyDescent="0.3">
      <c r="A141" s="89" t="str">
        <f t="shared" si="0"/>
        <v>[Shop web Winsum Testing-122]</v>
      </c>
      <c r="B141" s="87" t="s">
        <v>876</v>
      </c>
      <c r="C141" s="87" t="s">
        <v>457</v>
      </c>
      <c r="D141" s="21" t="s">
        <v>877</v>
      </c>
      <c r="E141" s="88" t="s">
        <v>878</v>
      </c>
      <c r="F141" s="138" t="s">
        <v>14</v>
      </c>
      <c r="G141" s="86">
        <v>46299</v>
      </c>
      <c r="H141" s="89" t="str">
        <f t="shared" si="1"/>
        <v>Nhóm phát triển đồ án</v>
      </c>
      <c r="I141" s="90" t="s">
        <v>653</v>
      </c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spans="1:26" ht="92.4" x14ac:dyDescent="0.3">
      <c r="A142" s="89" t="str">
        <f t="shared" si="0"/>
        <v>[Shop web Winsum Testing-123]</v>
      </c>
      <c r="B142" s="87" t="s">
        <v>654</v>
      </c>
      <c r="C142" s="87" t="s">
        <v>457</v>
      </c>
      <c r="D142" s="21" t="s">
        <v>656</v>
      </c>
      <c r="E142" s="88" t="s">
        <v>657</v>
      </c>
      <c r="F142" s="138" t="s">
        <v>14</v>
      </c>
      <c r="G142" s="86">
        <v>46300</v>
      </c>
      <c r="H142" s="89" t="str">
        <f t="shared" si="1"/>
        <v>Nhóm phát triển đồ án</v>
      </c>
      <c r="I142" s="90" t="s">
        <v>658</v>
      </c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spans="1:26" ht="92.4" x14ac:dyDescent="0.3">
      <c r="A143" s="89" t="str">
        <f t="shared" si="0"/>
        <v>[Shop web Winsum Testing-124]</v>
      </c>
      <c r="B143" s="87" t="s">
        <v>659</v>
      </c>
      <c r="C143" s="87" t="s">
        <v>457</v>
      </c>
      <c r="D143" s="21" t="s">
        <v>661</v>
      </c>
      <c r="E143" s="88" t="s">
        <v>662</v>
      </c>
      <c r="F143" s="138" t="s">
        <v>14</v>
      </c>
      <c r="G143" s="86">
        <v>46301</v>
      </c>
      <c r="H143" s="89" t="str">
        <f t="shared" si="1"/>
        <v>Nhóm phát triển đồ án</v>
      </c>
      <c r="I143" s="90" t="s">
        <v>663</v>
      </c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spans="1:26" ht="92.4" x14ac:dyDescent="0.3">
      <c r="A144" s="89" t="str">
        <f t="shared" si="0"/>
        <v>[Shop web Winsum Testing-125]</v>
      </c>
      <c r="B144" s="87" t="s">
        <v>664</v>
      </c>
      <c r="C144" s="87" t="s">
        <v>457</v>
      </c>
      <c r="D144" s="21" t="s">
        <v>666</v>
      </c>
      <c r="E144" s="88" t="s">
        <v>667</v>
      </c>
      <c r="F144" s="138" t="s">
        <v>14</v>
      </c>
      <c r="G144" s="86">
        <v>46302</v>
      </c>
      <c r="H144" s="89" t="str">
        <f t="shared" si="1"/>
        <v>Nhóm phát triển đồ án</v>
      </c>
      <c r="I144" s="90" t="s">
        <v>668</v>
      </c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spans="1:26" ht="92.4" x14ac:dyDescent="0.3">
      <c r="A145" s="89" t="str">
        <f t="shared" si="0"/>
        <v>[Shop web Winsum Testing-126]</v>
      </c>
      <c r="B145" s="87" t="s">
        <v>669</v>
      </c>
      <c r="C145" s="87" t="s">
        <v>457</v>
      </c>
      <c r="D145" s="21" t="s">
        <v>671</v>
      </c>
      <c r="E145" s="88" t="s">
        <v>672</v>
      </c>
      <c r="F145" s="138" t="s">
        <v>14</v>
      </c>
      <c r="G145" s="86">
        <v>46303</v>
      </c>
      <c r="H145" s="89" t="str">
        <f t="shared" si="1"/>
        <v>Nhóm phát triển đồ án</v>
      </c>
      <c r="I145" s="90" t="s">
        <v>673</v>
      </c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spans="1:26" ht="92.4" x14ac:dyDescent="0.3">
      <c r="A146" s="89" t="str">
        <f t="shared" si="0"/>
        <v>[Shop web Winsum Testing-127]</v>
      </c>
      <c r="B146" s="87" t="s">
        <v>674</v>
      </c>
      <c r="C146" s="87" t="s">
        <v>457</v>
      </c>
      <c r="D146" s="21" t="s">
        <v>676</v>
      </c>
      <c r="E146" s="88" t="s">
        <v>677</v>
      </c>
      <c r="F146" s="138" t="s">
        <v>14</v>
      </c>
      <c r="G146" s="86">
        <v>46304</v>
      </c>
      <c r="H146" s="89" t="str">
        <f t="shared" si="1"/>
        <v>Nhóm phát triển đồ án</v>
      </c>
      <c r="I146" s="90" t="s">
        <v>678</v>
      </c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spans="1:26" ht="92.4" x14ac:dyDescent="0.3">
      <c r="A147" s="89" t="str">
        <f t="shared" si="0"/>
        <v>[Shop web Winsum Testing-128]</v>
      </c>
      <c r="B147" s="87" t="s">
        <v>679</v>
      </c>
      <c r="C147" s="87" t="s">
        <v>457</v>
      </c>
      <c r="D147" s="21" t="s">
        <v>681</v>
      </c>
      <c r="E147" s="88" t="s">
        <v>682</v>
      </c>
      <c r="F147" s="138" t="s">
        <v>14</v>
      </c>
      <c r="G147" s="86">
        <v>46305</v>
      </c>
      <c r="H147" s="89" t="str">
        <f t="shared" si="1"/>
        <v>Nhóm phát triển đồ án</v>
      </c>
      <c r="I147" s="90" t="s">
        <v>683</v>
      </c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spans="1:26" ht="92.4" x14ac:dyDescent="0.3">
      <c r="A148" s="89" t="str">
        <f t="shared" si="0"/>
        <v>[Shop web Winsum Testing-129]</v>
      </c>
      <c r="B148" s="87" t="s">
        <v>684</v>
      </c>
      <c r="C148" s="87" t="s">
        <v>457</v>
      </c>
      <c r="D148" s="21" t="s">
        <v>686</v>
      </c>
      <c r="E148" s="88" t="s">
        <v>687</v>
      </c>
      <c r="F148" s="138" t="s">
        <v>14</v>
      </c>
      <c r="G148" s="86">
        <v>46306</v>
      </c>
      <c r="H148" s="89" t="str">
        <f t="shared" si="1"/>
        <v>Nhóm phát triển đồ án</v>
      </c>
      <c r="I148" s="90" t="s">
        <v>688</v>
      </c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spans="1:26" ht="92.4" x14ac:dyDescent="0.3">
      <c r="A149" s="89" t="str">
        <f t="shared" si="0"/>
        <v>[Shop web Winsum Testing-130]</v>
      </c>
      <c r="B149" s="87" t="s">
        <v>689</v>
      </c>
      <c r="C149" s="87" t="s">
        <v>457</v>
      </c>
      <c r="D149" s="21" t="s">
        <v>691</v>
      </c>
      <c r="E149" s="88" t="s">
        <v>692</v>
      </c>
      <c r="F149" s="138" t="s">
        <v>14</v>
      </c>
      <c r="G149" s="86">
        <v>46307</v>
      </c>
      <c r="H149" s="89" t="str">
        <f t="shared" si="1"/>
        <v>Nhóm phát triển đồ án</v>
      </c>
      <c r="I149" s="90" t="s">
        <v>693</v>
      </c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spans="1:26" ht="14.25" customHeight="1" x14ac:dyDescent="0.3">
      <c r="A150" s="81"/>
      <c r="B150" s="81" t="s">
        <v>694</v>
      </c>
      <c r="C150" s="82"/>
      <c r="D150" s="82"/>
      <c r="E150" s="82"/>
      <c r="F150" s="82"/>
      <c r="G150" s="86">
        <v>46308</v>
      </c>
      <c r="H150" s="89" t="str">
        <f>B3</f>
        <v>Nhóm phát triển đồ án</v>
      </c>
      <c r="I150" s="84"/>
      <c r="J150" s="85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92.4" x14ac:dyDescent="0.3">
      <c r="A151" s="89" t="str">
        <f t="shared" si="0"/>
        <v>[Shop web Winsum Testing-131]</v>
      </c>
      <c r="B151" s="87" t="s">
        <v>695</v>
      </c>
      <c r="C151" s="87" t="s">
        <v>852</v>
      </c>
      <c r="D151" s="21" t="s">
        <v>697</v>
      </c>
      <c r="E151" s="88" t="s">
        <v>698</v>
      </c>
      <c r="F151" s="138" t="s">
        <v>14</v>
      </c>
      <c r="G151" s="86">
        <v>46309</v>
      </c>
      <c r="H151" s="89" t="str">
        <f t="shared" si="1"/>
        <v>Nhóm phát triển đồ án</v>
      </c>
      <c r="I151" s="90" t="s">
        <v>699</v>
      </c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spans="1:26" ht="92.4" x14ac:dyDescent="0.3">
      <c r="A152" s="89" t="str">
        <f t="shared" si="0"/>
        <v>[Shop web Winsum Testing-132]</v>
      </c>
      <c r="B152" s="87" t="s">
        <v>700</v>
      </c>
      <c r="C152" s="87" t="s">
        <v>852</v>
      </c>
      <c r="D152" s="21" t="s">
        <v>702</v>
      </c>
      <c r="E152" s="88" t="s">
        <v>703</v>
      </c>
      <c r="F152" s="138" t="s">
        <v>14</v>
      </c>
      <c r="G152" s="86">
        <v>46310</v>
      </c>
      <c r="H152" s="89" t="str">
        <f t="shared" si="1"/>
        <v>Nhóm phát triển đồ án</v>
      </c>
      <c r="I152" s="90" t="s">
        <v>704</v>
      </c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spans="1:26" ht="92.4" x14ac:dyDescent="0.3">
      <c r="A153" s="89" t="str">
        <f t="shared" si="0"/>
        <v>[Shop web Winsum Testing-133]</v>
      </c>
      <c r="B153" s="87" t="s">
        <v>705</v>
      </c>
      <c r="C153" s="87" t="s">
        <v>852</v>
      </c>
      <c r="D153" s="21" t="s">
        <v>707</v>
      </c>
      <c r="E153" s="88" t="s">
        <v>708</v>
      </c>
      <c r="F153" s="138" t="s">
        <v>14</v>
      </c>
      <c r="G153" s="86">
        <v>46311</v>
      </c>
      <c r="H153" s="89" t="str">
        <f t="shared" si="1"/>
        <v>Nhóm phát triển đồ án</v>
      </c>
      <c r="I153" s="90" t="s">
        <v>709</v>
      </c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spans="1:26" ht="92.4" x14ac:dyDescent="0.3">
      <c r="A154" s="89" t="str">
        <f t="shared" si="0"/>
        <v>[Shop web Winsum Testing-134]</v>
      </c>
      <c r="B154" s="87" t="s">
        <v>710</v>
      </c>
      <c r="C154" s="87" t="s">
        <v>852</v>
      </c>
      <c r="D154" s="21" t="s">
        <v>712</v>
      </c>
      <c r="E154" s="88" t="s">
        <v>713</v>
      </c>
      <c r="F154" s="138" t="s">
        <v>14</v>
      </c>
      <c r="G154" s="86">
        <v>46312</v>
      </c>
      <c r="H154" s="89" t="str">
        <f t="shared" si="1"/>
        <v>Nhóm phát triển đồ án</v>
      </c>
      <c r="I154" s="90" t="s">
        <v>714</v>
      </c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spans="1:26" ht="92.4" x14ac:dyDescent="0.3">
      <c r="A155" s="89" t="str">
        <f t="shared" si="0"/>
        <v>[Shop web Winsum Testing-135]</v>
      </c>
      <c r="B155" s="87" t="s">
        <v>715</v>
      </c>
      <c r="C155" s="87" t="s">
        <v>852</v>
      </c>
      <c r="D155" s="21" t="s">
        <v>717</v>
      </c>
      <c r="E155" s="88" t="s">
        <v>718</v>
      </c>
      <c r="F155" s="138" t="s">
        <v>14</v>
      </c>
      <c r="G155" s="86">
        <v>46313</v>
      </c>
      <c r="H155" s="89" t="str">
        <f t="shared" si="1"/>
        <v>Nhóm phát triển đồ án</v>
      </c>
      <c r="I155" s="90" t="s">
        <v>719</v>
      </c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spans="1:26" ht="92.4" x14ac:dyDescent="0.3">
      <c r="A156" s="89" t="str">
        <f t="shared" si="0"/>
        <v>[Shop web Winsum Testing-136]</v>
      </c>
      <c r="B156" s="87" t="s">
        <v>720</v>
      </c>
      <c r="C156" s="87" t="s">
        <v>852</v>
      </c>
      <c r="D156" s="21" t="s">
        <v>722</v>
      </c>
      <c r="E156" s="88" t="s">
        <v>723</v>
      </c>
      <c r="F156" s="138" t="s">
        <v>14</v>
      </c>
      <c r="G156" s="86">
        <v>46314</v>
      </c>
      <c r="H156" s="89" t="str">
        <f t="shared" si="1"/>
        <v>Nhóm phát triển đồ án</v>
      </c>
      <c r="I156" s="90" t="s">
        <v>724</v>
      </c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spans="1:26" ht="92.4" x14ac:dyDescent="0.3">
      <c r="A157" s="89" t="str">
        <f t="shared" si="0"/>
        <v>[Shop web Winsum Testing-137]</v>
      </c>
      <c r="B157" s="87" t="s">
        <v>725</v>
      </c>
      <c r="C157" s="87" t="s">
        <v>852</v>
      </c>
      <c r="D157" s="21" t="s">
        <v>727</v>
      </c>
      <c r="E157" s="88" t="s">
        <v>728</v>
      </c>
      <c r="F157" s="138" t="s">
        <v>14</v>
      </c>
      <c r="G157" s="86">
        <v>46315</v>
      </c>
      <c r="H157" s="89" t="str">
        <f t="shared" si="1"/>
        <v>Nhóm phát triển đồ án</v>
      </c>
      <c r="I157" s="90" t="s">
        <v>729</v>
      </c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spans="1:26" ht="14.25" customHeight="1" x14ac:dyDescent="0.3">
      <c r="A158" s="81"/>
      <c r="B158" s="81" t="s">
        <v>730</v>
      </c>
      <c r="C158" s="82"/>
      <c r="D158" s="82"/>
      <c r="E158" s="82"/>
      <c r="F158" s="82"/>
      <c r="G158" s="86">
        <v>46316</v>
      </c>
      <c r="H158" s="89" t="str">
        <f>B3</f>
        <v>Nhóm phát triển đồ án</v>
      </c>
      <c r="I158" s="84"/>
      <c r="J158" s="85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92.4" x14ac:dyDescent="0.3">
      <c r="A159" s="89" t="str">
        <f t="shared" si="0"/>
        <v>[Shop web Winsum Testing-138]</v>
      </c>
      <c r="B159" s="87" t="s">
        <v>731</v>
      </c>
      <c r="C159" s="87" t="s">
        <v>852</v>
      </c>
      <c r="D159" s="21" t="s">
        <v>733</v>
      </c>
      <c r="E159" s="88" t="s">
        <v>734</v>
      </c>
      <c r="F159" s="138" t="s">
        <v>14</v>
      </c>
      <c r="G159" s="86">
        <v>46317</v>
      </c>
      <c r="H159" s="89" t="str">
        <f t="shared" si="1"/>
        <v>Nhóm phát triển đồ án</v>
      </c>
      <c r="I159" s="90" t="s">
        <v>735</v>
      </c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spans="1:26" ht="92.4" x14ac:dyDescent="0.3">
      <c r="A160" s="89" t="str">
        <f t="shared" si="0"/>
        <v>[Shop web Winsum Testing-139]</v>
      </c>
      <c r="B160" s="87" t="s">
        <v>736</v>
      </c>
      <c r="C160" s="87" t="s">
        <v>852</v>
      </c>
      <c r="D160" s="21" t="s">
        <v>738</v>
      </c>
      <c r="E160" s="88" t="s">
        <v>739</v>
      </c>
      <c r="F160" s="138" t="s">
        <v>14</v>
      </c>
      <c r="G160" s="86">
        <v>46318</v>
      </c>
      <c r="H160" s="89" t="str">
        <f t="shared" si="1"/>
        <v>Nhóm phát triển đồ án</v>
      </c>
      <c r="I160" s="90" t="s">
        <v>740</v>
      </c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spans="1:26" ht="92.4" x14ac:dyDescent="0.3">
      <c r="A161" s="89" t="str">
        <f t="shared" si="0"/>
        <v>[Shop web Winsum Testing-140]</v>
      </c>
      <c r="B161" s="87" t="s">
        <v>741</v>
      </c>
      <c r="C161" s="87" t="s">
        <v>852</v>
      </c>
      <c r="D161" s="21" t="s">
        <v>743</v>
      </c>
      <c r="E161" s="88" t="s">
        <v>744</v>
      </c>
      <c r="F161" s="138" t="s">
        <v>14</v>
      </c>
      <c r="G161" s="86">
        <v>46319</v>
      </c>
      <c r="H161" s="89" t="str">
        <f t="shared" si="1"/>
        <v>Nhóm phát triển đồ án</v>
      </c>
      <c r="I161" s="90" t="s">
        <v>745</v>
      </c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spans="1:26" ht="92.4" x14ac:dyDescent="0.3">
      <c r="A162" s="89" t="str">
        <f t="shared" si="0"/>
        <v>[Shop web Winsum Testing-141]</v>
      </c>
      <c r="B162" s="87" t="s">
        <v>746</v>
      </c>
      <c r="C162" s="87" t="s">
        <v>852</v>
      </c>
      <c r="D162" s="21" t="s">
        <v>748</v>
      </c>
      <c r="E162" s="88" t="s">
        <v>749</v>
      </c>
      <c r="F162" s="138" t="s">
        <v>14</v>
      </c>
      <c r="G162" s="86">
        <v>46320</v>
      </c>
      <c r="H162" s="89" t="str">
        <f t="shared" si="1"/>
        <v>Nhóm phát triển đồ án</v>
      </c>
      <c r="I162" s="90" t="s">
        <v>750</v>
      </c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spans="1:26" ht="92.4" x14ac:dyDescent="0.3">
      <c r="A163" s="89" t="str">
        <f t="shared" si="0"/>
        <v>[Shop web Winsum Testing-142]</v>
      </c>
      <c r="B163" s="87" t="s">
        <v>751</v>
      </c>
      <c r="C163" s="87" t="s">
        <v>852</v>
      </c>
      <c r="D163" s="21" t="s">
        <v>753</v>
      </c>
      <c r="E163" s="88" t="s">
        <v>754</v>
      </c>
      <c r="F163" s="138" t="s">
        <v>14</v>
      </c>
      <c r="G163" s="86">
        <v>46321</v>
      </c>
      <c r="H163" s="89" t="str">
        <f t="shared" si="1"/>
        <v>Nhóm phát triển đồ án</v>
      </c>
      <c r="I163" s="90" t="s">
        <v>755</v>
      </c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spans="1:26" ht="92.4" x14ac:dyDescent="0.3">
      <c r="A164" s="89" t="str">
        <f t="shared" si="0"/>
        <v>[Shop web Winsum Testing-143]</v>
      </c>
      <c r="B164" s="87" t="s">
        <v>756</v>
      </c>
      <c r="C164" s="87" t="s">
        <v>852</v>
      </c>
      <c r="D164" s="21" t="s">
        <v>758</v>
      </c>
      <c r="E164" s="88" t="s">
        <v>759</v>
      </c>
      <c r="F164" s="138" t="s">
        <v>14</v>
      </c>
      <c r="G164" s="86">
        <v>46322</v>
      </c>
      <c r="H164" s="89" t="str">
        <f t="shared" si="1"/>
        <v>Nhóm phát triển đồ án</v>
      </c>
      <c r="I164" s="90" t="s">
        <v>760</v>
      </c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spans="1:26" ht="92.4" x14ac:dyDescent="0.3">
      <c r="A165" s="89" t="str">
        <f t="shared" si="0"/>
        <v>[Shop web Winsum Testing-144]</v>
      </c>
      <c r="B165" s="87" t="s">
        <v>761</v>
      </c>
      <c r="C165" s="87" t="s">
        <v>852</v>
      </c>
      <c r="D165" s="21" t="s">
        <v>763</v>
      </c>
      <c r="E165" s="88" t="s">
        <v>764</v>
      </c>
      <c r="F165" s="138" t="s">
        <v>14</v>
      </c>
      <c r="G165" s="86">
        <v>46323</v>
      </c>
      <c r="H165" s="89" t="str">
        <f t="shared" si="1"/>
        <v>Nhóm phát triển đồ án</v>
      </c>
      <c r="I165" s="90" t="s">
        <v>765</v>
      </c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spans="1:26" ht="92.4" x14ac:dyDescent="0.3">
      <c r="A166" s="89" t="str">
        <f t="shared" si="0"/>
        <v>[Shop web Winsum Testing-145]</v>
      </c>
      <c r="B166" s="87" t="s">
        <v>766</v>
      </c>
      <c r="C166" s="87" t="s">
        <v>852</v>
      </c>
      <c r="D166" s="21" t="s">
        <v>768</v>
      </c>
      <c r="E166" s="88" t="s">
        <v>769</v>
      </c>
      <c r="F166" s="138" t="s">
        <v>14</v>
      </c>
      <c r="G166" s="86">
        <v>46324</v>
      </c>
      <c r="H166" s="89" t="str">
        <f t="shared" si="1"/>
        <v>Nhóm phát triển đồ án</v>
      </c>
      <c r="I166" s="90" t="s">
        <v>770</v>
      </c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spans="1:26" ht="92.4" x14ac:dyDescent="0.3">
      <c r="A167" s="89" t="str">
        <f t="shared" si="0"/>
        <v>[Shop web Winsum Testing-146]</v>
      </c>
      <c r="B167" s="87" t="s">
        <v>771</v>
      </c>
      <c r="C167" s="87" t="s">
        <v>852</v>
      </c>
      <c r="D167" s="21" t="s">
        <v>773</v>
      </c>
      <c r="E167" s="88" t="s">
        <v>774</v>
      </c>
      <c r="F167" s="138" t="s">
        <v>14</v>
      </c>
      <c r="G167" s="86">
        <v>46325</v>
      </c>
      <c r="H167" s="89" t="str">
        <f t="shared" si="1"/>
        <v>Nhóm phát triển đồ án</v>
      </c>
      <c r="I167" s="90" t="s">
        <v>775</v>
      </c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spans="1:26" ht="14.25" customHeight="1" x14ac:dyDescent="0.3">
      <c r="A168" s="81"/>
      <c r="B168" s="81" t="s">
        <v>776</v>
      </c>
      <c r="C168" s="82"/>
      <c r="D168" s="82"/>
      <c r="E168" s="82"/>
      <c r="F168" s="82"/>
      <c r="G168" s="86">
        <v>46326</v>
      </c>
      <c r="H168" s="89" t="str">
        <f>B3</f>
        <v>Nhóm phát triển đồ án</v>
      </c>
      <c r="I168" s="84"/>
      <c r="J168" s="85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92.4" x14ac:dyDescent="0.3">
      <c r="A169" s="89" t="str">
        <f t="shared" si="0"/>
        <v>[Shop web Winsum Testing-147]</v>
      </c>
      <c r="B169" s="87" t="s">
        <v>777</v>
      </c>
      <c r="C169" s="87" t="s">
        <v>778</v>
      </c>
      <c r="D169" s="21" t="s">
        <v>779</v>
      </c>
      <c r="E169" s="88" t="s">
        <v>780</v>
      </c>
      <c r="F169" s="138" t="s">
        <v>14</v>
      </c>
      <c r="G169" s="86">
        <v>46327</v>
      </c>
      <c r="H169" s="89" t="str">
        <f t="shared" si="1"/>
        <v>Nhóm phát triển đồ án</v>
      </c>
      <c r="I169" s="90" t="s">
        <v>781</v>
      </c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spans="1:26" ht="92.4" x14ac:dyDescent="0.3">
      <c r="A170" s="89" t="str">
        <f t="shared" si="0"/>
        <v>[Shop web Winsum Testing-148]</v>
      </c>
      <c r="B170" s="87" t="s">
        <v>782</v>
      </c>
      <c r="C170" s="87" t="s">
        <v>778</v>
      </c>
      <c r="D170" s="21" t="s">
        <v>784</v>
      </c>
      <c r="E170" s="88" t="s">
        <v>785</v>
      </c>
      <c r="F170" s="138" t="s">
        <v>14</v>
      </c>
      <c r="G170" s="86">
        <v>46328</v>
      </c>
      <c r="H170" s="89" t="str">
        <f t="shared" si="1"/>
        <v>Nhóm phát triển đồ án</v>
      </c>
      <c r="I170" s="90" t="s">
        <v>786</v>
      </c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spans="1:26" ht="92.4" x14ac:dyDescent="0.3">
      <c r="A171" s="89" t="str">
        <f t="shared" si="0"/>
        <v>[Shop web Winsum Testing-149]</v>
      </c>
      <c r="B171" s="87" t="s">
        <v>787</v>
      </c>
      <c r="C171" s="87" t="s">
        <v>778</v>
      </c>
      <c r="D171" s="21" t="s">
        <v>789</v>
      </c>
      <c r="E171" s="88" t="s">
        <v>790</v>
      </c>
      <c r="F171" s="138" t="s">
        <v>14</v>
      </c>
      <c r="G171" s="86">
        <v>46329</v>
      </c>
      <c r="H171" s="89" t="str">
        <f t="shared" si="1"/>
        <v>Nhóm phát triển đồ án</v>
      </c>
      <c r="I171" s="90" t="s">
        <v>791</v>
      </c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spans="1:26" ht="92.4" x14ac:dyDescent="0.3">
      <c r="A172" s="89" t="str">
        <f t="shared" si="0"/>
        <v>[Shop web Winsum Testing-150]</v>
      </c>
      <c r="B172" s="87" t="s">
        <v>792</v>
      </c>
      <c r="C172" s="87" t="s">
        <v>778</v>
      </c>
      <c r="D172" s="21" t="s">
        <v>794</v>
      </c>
      <c r="E172" s="88" t="s">
        <v>795</v>
      </c>
      <c r="F172" s="138" t="s">
        <v>14</v>
      </c>
      <c r="G172" s="86">
        <v>46330</v>
      </c>
      <c r="H172" s="89" t="str">
        <f t="shared" si="1"/>
        <v>Nhóm phát triển đồ án</v>
      </c>
      <c r="I172" s="90" t="s">
        <v>796</v>
      </c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spans="1:26" ht="92.4" x14ac:dyDescent="0.3">
      <c r="A173" s="89" t="str">
        <f t="shared" si="0"/>
        <v>[Shop web Winsum Testing-151]</v>
      </c>
      <c r="B173" s="87" t="s">
        <v>797</v>
      </c>
      <c r="C173" s="87" t="s">
        <v>778</v>
      </c>
      <c r="D173" s="21" t="s">
        <v>799</v>
      </c>
      <c r="E173" s="88" t="s">
        <v>800</v>
      </c>
      <c r="F173" s="138" t="s">
        <v>14</v>
      </c>
      <c r="G173" s="86">
        <v>46331</v>
      </c>
      <c r="H173" s="89" t="str">
        <f t="shared" si="1"/>
        <v>Nhóm phát triển đồ án</v>
      </c>
      <c r="I173" s="90" t="s">
        <v>801</v>
      </c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spans="1:26" ht="92.4" x14ac:dyDescent="0.3">
      <c r="A174" s="89" t="str">
        <f t="shared" si="0"/>
        <v>[Shop web Winsum Testing-152]</v>
      </c>
      <c r="B174" s="87" t="s">
        <v>802</v>
      </c>
      <c r="C174" s="87" t="s">
        <v>778</v>
      </c>
      <c r="D174" s="21" t="s">
        <v>804</v>
      </c>
      <c r="E174" s="88" t="s">
        <v>805</v>
      </c>
      <c r="F174" s="138" t="s">
        <v>14</v>
      </c>
      <c r="G174" s="86">
        <v>46332</v>
      </c>
      <c r="H174" s="89" t="str">
        <f t="shared" si="1"/>
        <v>Nhóm phát triển đồ án</v>
      </c>
      <c r="I174" s="90" t="s">
        <v>806</v>
      </c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spans="1:26" ht="92.4" x14ac:dyDescent="0.3">
      <c r="A175" s="89" t="str">
        <f t="shared" si="0"/>
        <v>[Shop web Winsum Testing-153]</v>
      </c>
      <c r="B175" s="87" t="s">
        <v>879</v>
      </c>
      <c r="C175" s="87" t="s">
        <v>778</v>
      </c>
      <c r="D175" s="21" t="s">
        <v>880</v>
      </c>
      <c r="E175" s="88" t="s">
        <v>810</v>
      </c>
      <c r="F175" s="138" t="s">
        <v>14</v>
      </c>
      <c r="G175" s="86">
        <v>46333</v>
      </c>
      <c r="H175" s="89" t="str">
        <f t="shared" si="1"/>
        <v>Nhóm phát triển đồ án</v>
      </c>
      <c r="I175" s="90" t="s">
        <v>811</v>
      </c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spans="1:26" ht="92.4" x14ac:dyDescent="0.3">
      <c r="A176" s="89" t="str">
        <f t="shared" si="0"/>
        <v>[Shop web Winsum Testing-154]</v>
      </c>
      <c r="B176" s="87" t="s">
        <v>812</v>
      </c>
      <c r="C176" s="87" t="s">
        <v>778</v>
      </c>
      <c r="D176" s="21" t="s">
        <v>814</v>
      </c>
      <c r="E176" s="88" t="s">
        <v>815</v>
      </c>
      <c r="F176" s="138" t="s">
        <v>14</v>
      </c>
      <c r="G176" s="86">
        <v>46334</v>
      </c>
      <c r="H176" s="89" t="str">
        <f t="shared" si="1"/>
        <v>Nhóm phát triển đồ án</v>
      </c>
      <c r="I176" s="90" t="s">
        <v>816</v>
      </c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spans="1:26" ht="92.4" x14ac:dyDescent="0.3">
      <c r="A177" s="89" t="str">
        <f t="shared" si="0"/>
        <v>[Shop web Winsum Testing-155]</v>
      </c>
      <c r="B177" s="87" t="s">
        <v>817</v>
      </c>
      <c r="C177" s="87" t="s">
        <v>778</v>
      </c>
      <c r="D177" s="21" t="s">
        <v>819</v>
      </c>
      <c r="E177" s="88" t="s">
        <v>820</v>
      </c>
      <c r="F177" s="138" t="s">
        <v>14</v>
      </c>
      <c r="G177" s="86">
        <v>46335</v>
      </c>
      <c r="H177" s="89" t="str">
        <f t="shared" si="1"/>
        <v>Nhóm phát triển đồ án</v>
      </c>
      <c r="I177" s="90" t="s">
        <v>821</v>
      </c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spans="1:26" ht="92.4" x14ac:dyDescent="0.3">
      <c r="A178" s="89" t="str">
        <f t="shared" si="0"/>
        <v>[Shop web Winsum Testing-156]</v>
      </c>
      <c r="B178" s="87" t="s">
        <v>822</v>
      </c>
      <c r="C178" s="87" t="s">
        <v>778</v>
      </c>
      <c r="D178" s="21" t="s">
        <v>824</v>
      </c>
      <c r="E178" s="88" t="s">
        <v>825</v>
      </c>
      <c r="F178" s="138" t="s">
        <v>14</v>
      </c>
      <c r="G178" s="86">
        <v>46336</v>
      </c>
      <c r="H178" s="89" t="str">
        <f t="shared" si="1"/>
        <v>Nhóm phát triển đồ án</v>
      </c>
      <c r="I178" s="90" t="s">
        <v>826</v>
      </c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spans="1:26" ht="92.4" x14ac:dyDescent="0.3">
      <c r="A179" s="89" t="str">
        <f t="shared" si="0"/>
        <v>[Shop web Winsum Testing-157]</v>
      </c>
      <c r="B179" s="87" t="s">
        <v>827</v>
      </c>
      <c r="C179" s="87" t="s">
        <v>778</v>
      </c>
      <c r="D179" s="21" t="s">
        <v>829</v>
      </c>
      <c r="E179" s="88" t="s">
        <v>830</v>
      </c>
      <c r="F179" s="138" t="s">
        <v>14</v>
      </c>
      <c r="G179" s="86">
        <v>46337</v>
      </c>
      <c r="H179" s="89" t="str">
        <f t="shared" si="1"/>
        <v>Nhóm phát triển đồ án</v>
      </c>
      <c r="I179" s="90" t="s">
        <v>831</v>
      </c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spans="1:26" ht="92.4" x14ac:dyDescent="0.3">
      <c r="A180" s="89" t="str">
        <f t="shared" si="0"/>
        <v>[Shop web Winsum Testing-158]</v>
      </c>
      <c r="B180" s="87" t="s">
        <v>832</v>
      </c>
      <c r="C180" s="87" t="s">
        <v>778</v>
      </c>
      <c r="D180" s="21" t="s">
        <v>834</v>
      </c>
      <c r="E180" s="88" t="s">
        <v>835</v>
      </c>
      <c r="F180" s="138" t="s">
        <v>14</v>
      </c>
      <c r="G180" s="86">
        <v>46338</v>
      </c>
      <c r="H180" s="89" t="str">
        <f t="shared" si="1"/>
        <v>Nhóm phát triển đồ án</v>
      </c>
      <c r="I180" s="90" t="s">
        <v>836</v>
      </c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spans="1:26" ht="92.4" x14ac:dyDescent="0.3">
      <c r="A181" s="89" t="str">
        <f t="shared" si="0"/>
        <v>[Shop web Winsum Testing-159]</v>
      </c>
      <c r="B181" s="87" t="s">
        <v>837</v>
      </c>
      <c r="C181" s="87" t="s">
        <v>778</v>
      </c>
      <c r="D181" s="21" t="s">
        <v>839</v>
      </c>
      <c r="E181" s="88" t="s">
        <v>840</v>
      </c>
      <c r="F181" s="138" t="s">
        <v>14</v>
      </c>
      <c r="G181" s="86">
        <v>46339</v>
      </c>
      <c r="H181" s="89" t="str">
        <f t="shared" si="1"/>
        <v>Nhóm phát triển đồ án</v>
      </c>
      <c r="I181" s="90" t="s">
        <v>841</v>
      </c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spans="1:26" ht="92.4" x14ac:dyDescent="0.3">
      <c r="A182" s="89" t="str">
        <f t="shared" si="0"/>
        <v>[Shop web Winsum Testing-160]</v>
      </c>
      <c r="B182" s="87" t="s">
        <v>842</v>
      </c>
      <c r="C182" s="87" t="s">
        <v>778</v>
      </c>
      <c r="D182" s="21" t="s">
        <v>844</v>
      </c>
      <c r="E182" s="88" t="s">
        <v>845</v>
      </c>
      <c r="F182" s="138" t="s">
        <v>14</v>
      </c>
      <c r="G182" s="86">
        <v>46340</v>
      </c>
      <c r="H182" s="89" t="str">
        <f t="shared" si="1"/>
        <v>Nhóm phát triển đồ án</v>
      </c>
      <c r="I182" s="90" t="s">
        <v>846</v>
      </c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spans="1:26" ht="92.4" x14ac:dyDescent="0.3">
      <c r="A183" s="89" t="str">
        <f t="shared" si="0"/>
        <v>[Shop web Winsum Testing-161]</v>
      </c>
      <c r="B183" s="87" t="s">
        <v>847</v>
      </c>
      <c r="C183" s="87" t="s">
        <v>778</v>
      </c>
      <c r="D183" s="21" t="s">
        <v>849</v>
      </c>
      <c r="E183" s="88" t="s">
        <v>850</v>
      </c>
      <c r="F183" s="138" t="s">
        <v>14</v>
      </c>
      <c r="G183" s="86">
        <v>46341</v>
      </c>
      <c r="H183" s="89" t="str">
        <f t="shared" si="1"/>
        <v>Nhóm phát triển đồ án</v>
      </c>
      <c r="I183" s="90" t="s">
        <v>851</v>
      </c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COUNTA(A9:A19)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33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34</v>
      </c>
      <c r="C10" s="87" t="s">
        <v>852</v>
      </c>
      <c r="D10" s="21" t="s">
        <v>853</v>
      </c>
      <c r="E10" s="88" t="s">
        <v>37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38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39</v>
      </c>
      <c r="C11" s="87" t="s">
        <v>852</v>
      </c>
      <c r="D11" s="21" t="s">
        <v>41</v>
      </c>
      <c r="E11" s="88" t="s">
        <v>42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43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44</v>
      </c>
      <c r="C12" s="87" t="s">
        <v>852</v>
      </c>
      <c r="D12" s="21" t="s">
        <v>46</v>
      </c>
      <c r="E12" s="88" t="s">
        <v>47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48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49</v>
      </c>
      <c r="C13" s="87" t="s">
        <v>852</v>
      </c>
      <c r="D13" s="21" t="s">
        <v>51</v>
      </c>
      <c r="E13" s="88" t="s">
        <v>52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53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54</v>
      </c>
      <c r="C14" s="87" t="s">
        <v>852</v>
      </c>
      <c r="D14" s="21" t="s">
        <v>56</v>
      </c>
      <c r="E14" s="88" t="s">
        <v>57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58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59</v>
      </c>
      <c r="C15" s="87" t="s">
        <v>852</v>
      </c>
      <c r="D15" s="21" t="s">
        <v>61</v>
      </c>
      <c r="E15" s="88" t="s">
        <v>62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63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64</v>
      </c>
      <c r="C16" s="87" t="s">
        <v>852</v>
      </c>
      <c r="D16" s="21" t="s">
        <v>66</v>
      </c>
      <c r="E16" s="88" t="s">
        <v>67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68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92.4" x14ac:dyDescent="0.3">
      <c r="A17" s="89" t="str">
        <f t="shared" si="0"/>
        <v>[Shop web Winsum Testing-8]</v>
      </c>
      <c r="B17" s="87" t="s">
        <v>69</v>
      </c>
      <c r="C17" s="87" t="s">
        <v>852</v>
      </c>
      <c r="D17" s="21" t="s">
        <v>71</v>
      </c>
      <c r="E17" s="88" t="s">
        <v>72</v>
      </c>
      <c r="F17" s="138" t="s">
        <v>14</v>
      </c>
      <c r="G17" s="86">
        <v>46175</v>
      </c>
      <c r="H17" s="89" t="str">
        <f t="shared" si="1"/>
        <v>Nhóm phát triển đồ án</v>
      </c>
      <c r="I17" s="90" t="s">
        <v>73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92.4" x14ac:dyDescent="0.3">
      <c r="A18" s="89" t="str">
        <f t="shared" si="0"/>
        <v>[Shop web Winsum Testing-9]</v>
      </c>
      <c r="B18" s="87" t="s">
        <v>74</v>
      </c>
      <c r="C18" s="87" t="s">
        <v>852</v>
      </c>
      <c r="D18" s="21" t="s">
        <v>76</v>
      </c>
      <c r="E18" s="88" t="s">
        <v>77</v>
      </c>
      <c r="F18" s="138" t="s">
        <v>14</v>
      </c>
      <c r="G18" s="86">
        <v>46176</v>
      </c>
      <c r="H18" s="89" t="str">
        <f t="shared" si="1"/>
        <v>Nhóm phát triển đồ án</v>
      </c>
      <c r="I18" s="90" t="s">
        <v>78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92.4" x14ac:dyDescent="0.3">
      <c r="A19" s="89" t="str">
        <f t="shared" si="0"/>
        <v>[Shop web Winsum Testing-10]</v>
      </c>
      <c r="B19" s="87" t="s">
        <v>79</v>
      </c>
      <c r="C19" s="87" t="s">
        <v>852</v>
      </c>
      <c r="D19" s="21" t="s">
        <v>81</v>
      </c>
      <c r="E19" s="88" t="s">
        <v>82</v>
      </c>
      <c r="F19" s="138" t="s">
        <v>14</v>
      </c>
      <c r="G19" s="86">
        <v>46177</v>
      </c>
      <c r="H19" s="89" t="str">
        <f t="shared" si="1"/>
        <v>Nhóm phát triển đồ án</v>
      </c>
      <c r="I19" s="90" t="s">
        <v>83</v>
      </c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COUNTA(A9:A21)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881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85</v>
      </c>
      <c r="C10" s="87" t="s">
        <v>86</v>
      </c>
      <c r="D10" s="21" t="s">
        <v>87</v>
      </c>
      <c r="E10" s="88" t="s">
        <v>88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89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90</v>
      </c>
      <c r="C11" s="87" t="s">
        <v>86</v>
      </c>
      <c r="D11" s="21" t="s">
        <v>92</v>
      </c>
      <c r="E11" s="88" t="s">
        <v>93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94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95</v>
      </c>
      <c r="C12" s="87" t="s">
        <v>86</v>
      </c>
      <c r="D12" s="21" t="s">
        <v>97</v>
      </c>
      <c r="E12" s="88" t="s">
        <v>98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99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100</v>
      </c>
      <c r="C13" s="87" t="s">
        <v>86</v>
      </c>
      <c r="D13" s="21" t="s">
        <v>102</v>
      </c>
      <c r="E13" s="88" t="s">
        <v>103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104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105</v>
      </c>
      <c r="C14" s="87" t="s">
        <v>86</v>
      </c>
      <c r="D14" s="21" t="s">
        <v>107</v>
      </c>
      <c r="E14" s="88" t="s">
        <v>108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109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110</v>
      </c>
      <c r="C15" s="87" t="s">
        <v>86</v>
      </c>
      <c r="D15" s="21" t="s">
        <v>112</v>
      </c>
      <c r="E15" s="88" t="s">
        <v>113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114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115</v>
      </c>
      <c r="C16" s="87" t="s">
        <v>86</v>
      </c>
      <c r="D16" s="21" t="s">
        <v>117</v>
      </c>
      <c r="E16" s="88" t="s">
        <v>118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119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92.4" x14ac:dyDescent="0.3">
      <c r="A17" s="89" t="str">
        <f t="shared" si="0"/>
        <v>[Shop web Winsum Testing-8]</v>
      </c>
      <c r="B17" s="87" t="s">
        <v>120</v>
      </c>
      <c r="C17" s="87" t="s">
        <v>86</v>
      </c>
      <c r="D17" s="21" t="s">
        <v>122</v>
      </c>
      <c r="E17" s="88" t="s">
        <v>123</v>
      </c>
      <c r="F17" s="138" t="s">
        <v>14</v>
      </c>
      <c r="G17" s="86">
        <v>46175</v>
      </c>
      <c r="H17" s="89" t="str">
        <f t="shared" si="1"/>
        <v>Nhóm phát triển đồ án</v>
      </c>
      <c r="I17" s="90" t="s">
        <v>124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92.4" x14ac:dyDescent="0.3">
      <c r="A18" s="89" t="str">
        <f t="shared" si="0"/>
        <v>[Shop web Winsum Testing-9]</v>
      </c>
      <c r="B18" s="87" t="s">
        <v>125</v>
      </c>
      <c r="C18" s="87" t="s">
        <v>86</v>
      </c>
      <c r="D18" s="21" t="s">
        <v>127</v>
      </c>
      <c r="E18" s="88" t="s">
        <v>128</v>
      </c>
      <c r="F18" s="138" t="s">
        <v>14</v>
      </c>
      <c r="G18" s="86">
        <v>46176</v>
      </c>
      <c r="H18" s="89" t="str">
        <f t="shared" si="1"/>
        <v>Nhóm phát triển đồ án</v>
      </c>
      <c r="I18" s="90" t="s">
        <v>129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92.4" x14ac:dyDescent="0.3">
      <c r="A19" s="89" t="str">
        <f t="shared" si="0"/>
        <v>[Shop web Winsum Testing-10]</v>
      </c>
      <c r="B19" s="87" t="s">
        <v>130</v>
      </c>
      <c r="C19" s="87" t="s">
        <v>86</v>
      </c>
      <c r="D19" s="21" t="s">
        <v>132</v>
      </c>
      <c r="E19" s="88" t="s">
        <v>133</v>
      </c>
      <c r="F19" s="138" t="s">
        <v>14</v>
      </c>
      <c r="G19" s="86">
        <v>46177</v>
      </c>
      <c r="H19" s="89" t="str">
        <f t="shared" si="1"/>
        <v>Nhóm phát triển đồ án</v>
      </c>
      <c r="I19" s="90" t="s">
        <v>134</v>
      </c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 ht="92.4" x14ac:dyDescent="0.3">
      <c r="A20" s="89" t="str">
        <f t="shared" si="0"/>
        <v>[Shop web Winsum Testing-11]</v>
      </c>
      <c r="B20" s="87" t="s">
        <v>135</v>
      </c>
      <c r="C20" s="87" t="s">
        <v>86</v>
      </c>
      <c r="D20" s="21" t="s">
        <v>137</v>
      </c>
      <c r="E20" s="88" t="s">
        <v>138</v>
      </c>
      <c r="F20" s="138" t="s">
        <v>14</v>
      </c>
      <c r="G20" s="86">
        <v>46178</v>
      </c>
      <c r="H20" s="89" t="str">
        <f t="shared" si="1"/>
        <v>Nhóm phát triển đồ án</v>
      </c>
      <c r="I20" s="90" t="s">
        <v>139</v>
      </c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92.4" x14ac:dyDescent="0.3">
      <c r="A21" s="89" t="str">
        <f t="shared" si="0"/>
        <v>[Shop web Winsum Testing-12]</v>
      </c>
      <c r="B21" s="87" t="s">
        <v>140</v>
      </c>
      <c r="C21" s="87" t="s">
        <v>86</v>
      </c>
      <c r="D21" s="21" t="s">
        <v>854</v>
      </c>
      <c r="E21" s="88" t="s">
        <v>143</v>
      </c>
      <c r="F21" s="138" t="s">
        <v>14</v>
      </c>
      <c r="G21" s="86">
        <v>46179</v>
      </c>
      <c r="H21" s="89" t="str">
        <f t="shared" si="1"/>
        <v>Nhóm phát triển đồ án</v>
      </c>
      <c r="I21" s="90" t="s">
        <v>144</v>
      </c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COUNTA(A9:A23)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882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146</v>
      </c>
      <c r="C10" s="87" t="s">
        <v>86</v>
      </c>
      <c r="D10" s="21" t="s">
        <v>148</v>
      </c>
      <c r="E10" s="88" t="s">
        <v>149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150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151</v>
      </c>
      <c r="C11" s="87" t="s">
        <v>86</v>
      </c>
      <c r="D11" s="21" t="s">
        <v>153</v>
      </c>
      <c r="E11" s="88" t="s">
        <v>154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155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156</v>
      </c>
      <c r="C12" s="87" t="s">
        <v>86</v>
      </c>
      <c r="D12" s="21" t="s">
        <v>158</v>
      </c>
      <c r="E12" s="88" t="s">
        <v>159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160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161</v>
      </c>
      <c r="C13" s="87" t="s">
        <v>86</v>
      </c>
      <c r="D13" s="21" t="s">
        <v>163</v>
      </c>
      <c r="E13" s="88" t="s">
        <v>164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165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166</v>
      </c>
      <c r="C14" s="87" t="s">
        <v>86</v>
      </c>
      <c r="D14" s="21" t="s">
        <v>168</v>
      </c>
      <c r="E14" s="88" t="s">
        <v>169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170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171</v>
      </c>
      <c r="C15" s="87" t="s">
        <v>86</v>
      </c>
      <c r="D15" s="21" t="s">
        <v>173</v>
      </c>
      <c r="E15" s="88" t="s">
        <v>174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175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176</v>
      </c>
      <c r="C16" s="87" t="s">
        <v>86</v>
      </c>
      <c r="D16" s="21" t="s">
        <v>178</v>
      </c>
      <c r="E16" s="88" t="s">
        <v>179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180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92.4" x14ac:dyDescent="0.3">
      <c r="A17" s="89" t="str">
        <f t="shared" si="0"/>
        <v>[Shop web Winsum Testing-8]</v>
      </c>
      <c r="B17" s="87" t="s">
        <v>181</v>
      </c>
      <c r="C17" s="87" t="s">
        <v>86</v>
      </c>
      <c r="D17" s="21" t="s">
        <v>183</v>
      </c>
      <c r="E17" s="88" t="s">
        <v>184</v>
      </c>
      <c r="F17" s="138" t="s">
        <v>14</v>
      </c>
      <c r="G17" s="86">
        <v>46175</v>
      </c>
      <c r="H17" s="89" t="str">
        <f t="shared" si="1"/>
        <v>Nhóm phát triển đồ án</v>
      </c>
      <c r="I17" s="90" t="s">
        <v>185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92.4" x14ac:dyDescent="0.3">
      <c r="A18" s="89" t="str">
        <f t="shared" si="0"/>
        <v>[Shop web Winsum Testing-9]</v>
      </c>
      <c r="B18" s="87" t="s">
        <v>186</v>
      </c>
      <c r="C18" s="87" t="s">
        <v>86</v>
      </c>
      <c r="D18" s="21" t="s">
        <v>188</v>
      </c>
      <c r="E18" s="88" t="s">
        <v>189</v>
      </c>
      <c r="F18" s="138" t="s">
        <v>14</v>
      </c>
      <c r="G18" s="86">
        <v>46176</v>
      </c>
      <c r="H18" s="89" t="str">
        <f t="shared" si="1"/>
        <v>Nhóm phát triển đồ án</v>
      </c>
      <c r="I18" s="90" t="s">
        <v>190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92.4" x14ac:dyDescent="0.3">
      <c r="A19" s="89" t="str">
        <f t="shared" si="0"/>
        <v>[Shop web Winsum Testing-10]</v>
      </c>
      <c r="B19" s="87" t="s">
        <v>191</v>
      </c>
      <c r="C19" s="87" t="s">
        <v>86</v>
      </c>
      <c r="D19" s="21" t="s">
        <v>193</v>
      </c>
      <c r="E19" s="88" t="s">
        <v>194</v>
      </c>
      <c r="F19" s="138" t="s">
        <v>14</v>
      </c>
      <c r="G19" s="86">
        <v>46177</v>
      </c>
      <c r="H19" s="89" t="str">
        <f t="shared" si="1"/>
        <v>Nhóm phát triển đồ án</v>
      </c>
      <c r="I19" s="90" t="s">
        <v>195</v>
      </c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 ht="92.4" x14ac:dyDescent="0.3">
      <c r="A20" s="89" t="str">
        <f t="shared" si="0"/>
        <v>[Shop web Winsum Testing-11]</v>
      </c>
      <c r="B20" s="87" t="s">
        <v>196</v>
      </c>
      <c r="C20" s="87" t="s">
        <v>86</v>
      </c>
      <c r="D20" s="21" t="s">
        <v>198</v>
      </c>
      <c r="E20" s="88" t="s">
        <v>199</v>
      </c>
      <c r="F20" s="138" t="s">
        <v>14</v>
      </c>
      <c r="G20" s="86">
        <v>46178</v>
      </c>
      <c r="H20" s="89" t="str">
        <f t="shared" si="1"/>
        <v>Nhóm phát triển đồ án</v>
      </c>
      <c r="I20" s="90" t="s">
        <v>200</v>
      </c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92.4" x14ac:dyDescent="0.3">
      <c r="A21" s="89" t="str">
        <f t="shared" si="0"/>
        <v>[Shop web Winsum Testing-12]</v>
      </c>
      <c r="B21" s="87" t="s">
        <v>201</v>
      </c>
      <c r="C21" s="87" t="s">
        <v>86</v>
      </c>
      <c r="D21" s="21" t="s">
        <v>203</v>
      </c>
      <c r="E21" s="88" t="s">
        <v>204</v>
      </c>
      <c r="F21" s="138" t="s">
        <v>14</v>
      </c>
      <c r="G21" s="86">
        <v>46179</v>
      </c>
      <c r="H21" s="89" t="str">
        <f t="shared" si="1"/>
        <v>Nhóm phát triển đồ án</v>
      </c>
      <c r="I21" s="90" t="s">
        <v>205</v>
      </c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92.4" x14ac:dyDescent="0.3">
      <c r="A22" s="89" t="str">
        <f t="shared" si="0"/>
        <v>[Shop web Winsum Testing-13]</v>
      </c>
      <c r="B22" s="87" t="s">
        <v>206</v>
      </c>
      <c r="C22" s="87" t="s">
        <v>86</v>
      </c>
      <c r="D22" s="21" t="s">
        <v>208</v>
      </c>
      <c r="E22" s="88" t="s">
        <v>209</v>
      </c>
      <c r="F22" s="138" t="s">
        <v>14</v>
      </c>
      <c r="G22" s="86">
        <v>46180</v>
      </c>
      <c r="H22" s="89" t="str">
        <f t="shared" si="1"/>
        <v>Nhóm phát triển đồ án</v>
      </c>
      <c r="I22" s="90" t="s">
        <v>210</v>
      </c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92.4" x14ac:dyDescent="0.3">
      <c r="A23" s="89" t="str">
        <f t="shared" si="0"/>
        <v>[Shop web Winsum Testing-14]</v>
      </c>
      <c r="B23" s="87" t="s">
        <v>211</v>
      </c>
      <c r="C23" s="87" t="s">
        <v>86</v>
      </c>
      <c r="D23" s="21" t="s">
        <v>213</v>
      </c>
      <c r="E23" s="88" t="s">
        <v>214</v>
      </c>
      <c r="F23" s="138" t="s">
        <v>14</v>
      </c>
      <c r="G23" s="86">
        <v>46181</v>
      </c>
      <c r="H23" s="89" t="str">
        <f t="shared" si="1"/>
        <v>Nhóm phát triển đồ án</v>
      </c>
      <c r="I23" s="90" t="s">
        <v>215</v>
      </c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COUNTA(A9:A19)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883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217</v>
      </c>
      <c r="C10" s="87" t="s">
        <v>218</v>
      </c>
      <c r="D10" s="21" t="s">
        <v>219</v>
      </c>
      <c r="E10" s="88" t="s">
        <v>220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221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222</v>
      </c>
      <c r="C11" s="87" t="s">
        <v>218</v>
      </c>
      <c r="D11" s="21" t="s">
        <v>224</v>
      </c>
      <c r="E11" s="88" t="s">
        <v>225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226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227</v>
      </c>
      <c r="C12" s="87" t="s">
        <v>218</v>
      </c>
      <c r="D12" s="21" t="s">
        <v>229</v>
      </c>
      <c r="E12" s="88" t="s">
        <v>230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231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232</v>
      </c>
      <c r="C13" s="87" t="s">
        <v>218</v>
      </c>
      <c r="D13" s="21" t="s">
        <v>234</v>
      </c>
      <c r="E13" s="88" t="s">
        <v>235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236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237</v>
      </c>
      <c r="C14" s="87" t="s">
        <v>218</v>
      </c>
      <c r="D14" s="21" t="s">
        <v>239</v>
      </c>
      <c r="E14" s="88" t="s">
        <v>240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241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242</v>
      </c>
      <c r="C15" s="87" t="s">
        <v>218</v>
      </c>
      <c r="D15" s="21" t="s">
        <v>244</v>
      </c>
      <c r="E15" s="88" t="s">
        <v>245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246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247</v>
      </c>
      <c r="C16" s="87" t="s">
        <v>218</v>
      </c>
      <c r="D16" s="21" t="s">
        <v>249</v>
      </c>
      <c r="E16" s="88" t="s">
        <v>250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251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92.4" x14ac:dyDescent="0.3">
      <c r="A17" s="89" t="str">
        <f t="shared" si="0"/>
        <v>[Shop web Winsum Testing-8]</v>
      </c>
      <c r="B17" s="87" t="s">
        <v>252</v>
      </c>
      <c r="C17" s="87" t="s">
        <v>218</v>
      </c>
      <c r="D17" s="21" t="s">
        <v>254</v>
      </c>
      <c r="E17" s="88" t="s">
        <v>255</v>
      </c>
      <c r="F17" s="138" t="s">
        <v>14</v>
      </c>
      <c r="G17" s="86">
        <v>46175</v>
      </c>
      <c r="H17" s="89" t="str">
        <f t="shared" si="1"/>
        <v>Nhóm phát triển đồ án</v>
      </c>
      <c r="I17" s="90" t="s">
        <v>256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92.4" x14ac:dyDescent="0.3">
      <c r="A18" s="89" t="str">
        <f t="shared" si="0"/>
        <v>[Shop web Winsum Testing-9]</v>
      </c>
      <c r="B18" s="87" t="s">
        <v>257</v>
      </c>
      <c r="C18" s="87" t="s">
        <v>218</v>
      </c>
      <c r="D18" s="21" t="s">
        <v>259</v>
      </c>
      <c r="E18" s="88" t="s">
        <v>260</v>
      </c>
      <c r="F18" s="138" t="s">
        <v>14</v>
      </c>
      <c r="G18" s="86">
        <v>46176</v>
      </c>
      <c r="H18" s="89" t="str">
        <f t="shared" si="1"/>
        <v>Nhóm phát triển đồ án</v>
      </c>
      <c r="I18" s="90" t="s">
        <v>261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92.4" x14ac:dyDescent="0.3">
      <c r="A19" s="89" t="str">
        <f t="shared" si="0"/>
        <v>[Shop web Winsum Testing-10]</v>
      </c>
      <c r="B19" s="87" t="s">
        <v>262</v>
      </c>
      <c r="C19" s="87" t="s">
        <v>218</v>
      </c>
      <c r="D19" s="21" t="s">
        <v>264</v>
      </c>
      <c r="E19" s="88" t="s">
        <v>265</v>
      </c>
      <c r="F19" s="138" t="s">
        <v>14</v>
      </c>
      <c r="G19" s="86">
        <v>46177</v>
      </c>
      <c r="H19" s="89" t="str">
        <f t="shared" si="1"/>
        <v>Nhóm phát triển đồ án</v>
      </c>
      <c r="I19" s="90" t="s">
        <v>266</v>
      </c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COUNTA(A9:A31)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884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268</v>
      </c>
      <c r="C10" s="87" t="s">
        <v>218</v>
      </c>
      <c r="D10" s="21" t="s">
        <v>270</v>
      </c>
      <c r="E10" s="88" t="s">
        <v>271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272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273</v>
      </c>
      <c r="C11" s="87" t="s">
        <v>218</v>
      </c>
      <c r="D11" s="21" t="s">
        <v>275</v>
      </c>
      <c r="E11" s="88" t="s">
        <v>276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277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855</v>
      </c>
      <c r="C12" s="87" t="s">
        <v>218</v>
      </c>
      <c r="D12" s="21" t="s">
        <v>856</v>
      </c>
      <c r="E12" s="88" t="s">
        <v>281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282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283</v>
      </c>
      <c r="C13" s="87" t="s">
        <v>218</v>
      </c>
      <c r="D13" s="21" t="s">
        <v>285</v>
      </c>
      <c r="E13" s="88" t="s">
        <v>286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287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288</v>
      </c>
      <c r="C14" s="87" t="s">
        <v>218</v>
      </c>
      <c r="D14" s="21" t="s">
        <v>290</v>
      </c>
      <c r="E14" s="88" t="s">
        <v>291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292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293</v>
      </c>
      <c r="C15" s="87" t="s">
        <v>218</v>
      </c>
      <c r="D15" s="21" t="s">
        <v>295</v>
      </c>
      <c r="E15" s="88" t="s">
        <v>296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297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298</v>
      </c>
      <c r="C16" s="87" t="s">
        <v>218</v>
      </c>
      <c r="D16" s="21" t="s">
        <v>300</v>
      </c>
      <c r="E16" s="88" t="s">
        <v>301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302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92.4" x14ac:dyDescent="0.3">
      <c r="A17" s="89" t="str">
        <f t="shared" si="0"/>
        <v>[Shop web Winsum Testing-8]</v>
      </c>
      <c r="B17" s="87" t="s">
        <v>857</v>
      </c>
      <c r="C17" s="87" t="s">
        <v>218</v>
      </c>
      <c r="D17" s="21" t="s">
        <v>858</v>
      </c>
      <c r="E17" s="88" t="s">
        <v>859</v>
      </c>
      <c r="F17" s="138" t="s">
        <v>14</v>
      </c>
      <c r="G17" s="86">
        <v>46175</v>
      </c>
      <c r="H17" s="89" t="str">
        <f t="shared" si="1"/>
        <v>Nhóm phát triển đồ án</v>
      </c>
      <c r="I17" s="90" t="s">
        <v>307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92.4" x14ac:dyDescent="0.3">
      <c r="A18" s="89" t="str">
        <f t="shared" si="0"/>
        <v>[Shop web Winsum Testing-9]</v>
      </c>
      <c r="B18" s="87" t="s">
        <v>283</v>
      </c>
      <c r="C18" s="87" t="s">
        <v>218</v>
      </c>
      <c r="D18" s="21" t="s">
        <v>860</v>
      </c>
      <c r="E18" s="88" t="s">
        <v>311</v>
      </c>
      <c r="F18" s="138" t="s">
        <v>14</v>
      </c>
      <c r="G18" s="86">
        <v>46176</v>
      </c>
      <c r="H18" s="89" t="str">
        <f t="shared" si="1"/>
        <v>Nhóm phát triển đồ án</v>
      </c>
      <c r="I18" s="90" t="s">
        <v>312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92.4" x14ac:dyDescent="0.3">
      <c r="A19" s="89" t="str">
        <f t="shared" si="0"/>
        <v>[Shop web Winsum Testing-10]</v>
      </c>
      <c r="B19" s="87" t="s">
        <v>313</v>
      </c>
      <c r="C19" s="87" t="s">
        <v>218</v>
      </c>
      <c r="D19" s="21" t="s">
        <v>315</v>
      </c>
      <c r="E19" s="88" t="s">
        <v>316</v>
      </c>
      <c r="F19" s="138" t="s">
        <v>14</v>
      </c>
      <c r="G19" s="86">
        <v>46177</v>
      </c>
      <c r="H19" s="89" t="str">
        <f t="shared" si="1"/>
        <v>Nhóm phát triển đồ án</v>
      </c>
      <c r="I19" s="90" t="s">
        <v>317</v>
      </c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 ht="92.4" x14ac:dyDescent="0.3">
      <c r="A20" s="89" t="str">
        <f t="shared" si="0"/>
        <v>[Shop web Winsum Testing-11]</v>
      </c>
      <c r="B20" s="87" t="s">
        <v>318</v>
      </c>
      <c r="C20" s="87" t="s">
        <v>218</v>
      </c>
      <c r="D20" s="21" t="s">
        <v>320</v>
      </c>
      <c r="E20" s="88" t="s">
        <v>321</v>
      </c>
      <c r="F20" s="138" t="s">
        <v>14</v>
      </c>
      <c r="G20" s="86">
        <v>46178</v>
      </c>
      <c r="H20" s="89" t="str">
        <f t="shared" si="1"/>
        <v>Nhóm phát triển đồ án</v>
      </c>
      <c r="I20" s="90" t="s">
        <v>322</v>
      </c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92.4" x14ac:dyDescent="0.3">
      <c r="A21" s="89" t="str">
        <f t="shared" si="0"/>
        <v>[Shop web Winsum Testing-12]</v>
      </c>
      <c r="B21" s="87" t="s">
        <v>323</v>
      </c>
      <c r="C21" s="87" t="s">
        <v>218</v>
      </c>
      <c r="D21" s="21" t="s">
        <v>325</v>
      </c>
      <c r="E21" s="88" t="s">
        <v>326</v>
      </c>
      <c r="F21" s="138" t="s">
        <v>14</v>
      </c>
      <c r="G21" s="86">
        <v>46179</v>
      </c>
      <c r="H21" s="89" t="str">
        <f t="shared" si="1"/>
        <v>Nhóm phát triển đồ án</v>
      </c>
      <c r="I21" s="90" t="s">
        <v>327</v>
      </c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92.4" x14ac:dyDescent="0.3">
      <c r="A22" s="89" t="str">
        <f t="shared" si="0"/>
        <v>[Shop web Winsum Testing-13]</v>
      </c>
      <c r="B22" s="87" t="s">
        <v>328</v>
      </c>
      <c r="C22" s="87" t="s">
        <v>218</v>
      </c>
      <c r="D22" s="21" t="s">
        <v>330</v>
      </c>
      <c r="E22" s="88" t="s">
        <v>331</v>
      </c>
      <c r="F22" s="138" t="s">
        <v>14</v>
      </c>
      <c r="G22" s="86">
        <v>46180</v>
      </c>
      <c r="H22" s="89" t="str">
        <f t="shared" si="1"/>
        <v>Nhóm phát triển đồ án</v>
      </c>
      <c r="I22" s="90" t="s">
        <v>332</v>
      </c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92.4" x14ac:dyDescent="0.3">
      <c r="A23" s="89" t="str">
        <f t="shared" si="0"/>
        <v>[Shop web Winsum Testing-14]</v>
      </c>
      <c r="B23" s="87" t="s">
        <v>333</v>
      </c>
      <c r="C23" s="87" t="s">
        <v>218</v>
      </c>
      <c r="D23" s="21" t="s">
        <v>335</v>
      </c>
      <c r="E23" s="88" t="s">
        <v>336</v>
      </c>
      <c r="F23" s="138" t="s">
        <v>14</v>
      </c>
      <c r="G23" s="86">
        <v>46181</v>
      </c>
      <c r="H23" s="89" t="str">
        <f t="shared" si="1"/>
        <v>Nhóm phát triển đồ án</v>
      </c>
      <c r="I23" s="90" t="s">
        <v>337</v>
      </c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 ht="92.4" x14ac:dyDescent="0.3">
      <c r="A24" s="89" t="str">
        <f t="shared" si="0"/>
        <v>[Shop web Winsum Testing-15]</v>
      </c>
      <c r="B24" s="87" t="s">
        <v>338</v>
      </c>
      <c r="C24" s="87" t="s">
        <v>218</v>
      </c>
      <c r="D24" s="21" t="s">
        <v>340</v>
      </c>
      <c r="E24" s="88" t="s">
        <v>341</v>
      </c>
      <c r="F24" s="138" t="s">
        <v>14</v>
      </c>
      <c r="G24" s="86">
        <v>46182</v>
      </c>
      <c r="H24" s="89" t="str">
        <f t="shared" si="1"/>
        <v>Nhóm phát triển đồ án</v>
      </c>
      <c r="I24" s="90" t="s">
        <v>342</v>
      </c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1:26" ht="92.4" x14ac:dyDescent="0.3">
      <c r="A25" s="89" t="str">
        <f t="shared" si="0"/>
        <v>[Shop web Winsum Testing-16]</v>
      </c>
      <c r="B25" s="87" t="s">
        <v>343</v>
      </c>
      <c r="C25" s="87" t="s">
        <v>218</v>
      </c>
      <c r="D25" s="21" t="s">
        <v>345</v>
      </c>
      <c r="E25" s="88" t="s">
        <v>346</v>
      </c>
      <c r="F25" s="138" t="s">
        <v>14</v>
      </c>
      <c r="G25" s="86">
        <v>46183</v>
      </c>
      <c r="H25" s="89" t="str">
        <f t="shared" si="1"/>
        <v>Nhóm phát triển đồ án</v>
      </c>
      <c r="I25" s="90" t="s">
        <v>347</v>
      </c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spans="1:26" ht="92.4" x14ac:dyDescent="0.3">
      <c r="A26" s="89" t="str">
        <f t="shared" si="0"/>
        <v>[Shop web Winsum Testing-17]</v>
      </c>
      <c r="B26" s="87" t="s">
        <v>348</v>
      </c>
      <c r="C26" s="87" t="s">
        <v>218</v>
      </c>
      <c r="D26" s="21" t="s">
        <v>350</v>
      </c>
      <c r="E26" s="88" t="s">
        <v>351</v>
      </c>
      <c r="F26" s="138" t="s">
        <v>14</v>
      </c>
      <c r="G26" s="86">
        <v>46184</v>
      </c>
      <c r="H26" s="89" t="str">
        <f t="shared" si="1"/>
        <v>Nhóm phát triển đồ án</v>
      </c>
      <c r="I26" s="90" t="s">
        <v>352</v>
      </c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spans="1:26" ht="92.4" x14ac:dyDescent="0.3">
      <c r="A27" s="89" t="str">
        <f t="shared" si="0"/>
        <v>[Shop web Winsum Testing-18]</v>
      </c>
      <c r="B27" s="87" t="s">
        <v>353</v>
      </c>
      <c r="C27" s="87" t="s">
        <v>218</v>
      </c>
      <c r="D27" s="21" t="s">
        <v>355</v>
      </c>
      <c r="E27" s="88" t="s">
        <v>356</v>
      </c>
      <c r="F27" s="138" t="s">
        <v>14</v>
      </c>
      <c r="G27" s="86">
        <v>46185</v>
      </c>
      <c r="H27" s="89" t="str">
        <f t="shared" si="1"/>
        <v>Nhóm phát triển đồ án</v>
      </c>
      <c r="I27" s="90" t="s">
        <v>357</v>
      </c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spans="1:26" ht="92.4" x14ac:dyDescent="0.3">
      <c r="A28" s="89" t="str">
        <f t="shared" si="0"/>
        <v>[Shop web Winsum Testing-19]</v>
      </c>
      <c r="B28" s="87" t="s">
        <v>358</v>
      </c>
      <c r="C28" s="87" t="s">
        <v>218</v>
      </c>
      <c r="D28" s="21" t="s">
        <v>360</v>
      </c>
      <c r="E28" s="88" t="s">
        <v>361</v>
      </c>
      <c r="F28" s="138" t="s">
        <v>14</v>
      </c>
      <c r="G28" s="86">
        <v>46186</v>
      </c>
      <c r="H28" s="89" t="str">
        <f t="shared" si="1"/>
        <v>Nhóm phát triển đồ án</v>
      </c>
      <c r="I28" s="90" t="s">
        <v>362</v>
      </c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1:26" ht="92.4" x14ac:dyDescent="0.3">
      <c r="A29" s="89" t="str">
        <f t="shared" si="0"/>
        <v>[Shop web Winsum Testing-20]</v>
      </c>
      <c r="B29" s="87" t="s">
        <v>363</v>
      </c>
      <c r="C29" s="87" t="s">
        <v>218</v>
      </c>
      <c r="D29" s="21" t="s">
        <v>365</v>
      </c>
      <c r="E29" s="88" t="s">
        <v>366</v>
      </c>
      <c r="F29" s="138" t="s">
        <v>14</v>
      </c>
      <c r="G29" s="86">
        <v>46187</v>
      </c>
      <c r="H29" s="89" t="str">
        <f t="shared" si="1"/>
        <v>Nhóm phát triển đồ án</v>
      </c>
      <c r="I29" s="90" t="s">
        <v>367</v>
      </c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spans="1:26" ht="92.4" x14ac:dyDescent="0.3">
      <c r="A30" s="89" t="str">
        <f t="shared" si="0"/>
        <v>[Shop web Winsum Testing-21]</v>
      </c>
      <c r="B30" s="87" t="s">
        <v>368</v>
      </c>
      <c r="C30" s="87" t="s">
        <v>218</v>
      </c>
      <c r="D30" s="21" t="s">
        <v>370</v>
      </c>
      <c r="E30" s="88" t="s">
        <v>371</v>
      </c>
      <c r="F30" s="138" t="s">
        <v>14</v>
      </c>
      <c r="G30" s="86">
        <v>46188</v>
      </c>
      <c r="H30" s="89" t="str">
        <f t="shared" si="1"/>
        <v>Nhóm phát triển đồ án</v>
      </c>
      <c r="I30" s="90" t="s">
        <v>372</v>
      </c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92.4" x14ac:dyDescent="0.3">
      <c r="A31" s="89" t="str">
        <f t="shared" si="0"/>
        <v>[Shop web Winsum Testing-22]</v>
      </c>
      <c r="B31" s="87" t="s">
        <v>373</v>
      </c>
      <c r="C31" s="87" t="s">
        <v>218</v>
      </c>
      <c r="D31" s="21" t="s">
        <v>375</v>
      </c>
      <c r="E31" s="88" t="s">
        <v>376</v>
      </c>
      <c r="F31" s="138" t="s">
        <v>14</v>
      </c>
      <c r="G31" s="86">
        <v>46189</v>
      </c>
      <c r="H31" s="89" t="str">
        <f t="shared" si="1"/>
        <v>Nhóm phát triển đồ án</v>
      </c>
      <c r="I31" s="90" t="s">
        <v>377</v>
      </c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COUNTA(A9:A16)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885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379</v>
      </c>
      <c r="C10" s="87" t="s">
        <v>852</v>
      </c>
      <c r="D10" s="21" t="s">
        <v>381</v>
      </c>
      <c r="E10" s="88" t="s">
        <v>382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383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384</v>
      </c>
      <c r="C11" s="87" t="s">
        <v>852</v>
      </c>
      <c r="D11" s="21" t="s">
        <v>386</v>
      </c>
      <c r="E11" s="88" t="s">
        <v>387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388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389</v>
      </c>
      <c r="C12" s="87" t="s">
        <v>852</v>
      </c>
      <c r="D12" s="21" t="s">
        <v>391</v>
      </c>
      <c r="E12" s="88" t="s">
        <v>392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393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394</v>
      </c>
      <c r="C13" s="87" t="s">
        <v>852</v>
      </c>
      <c r="D13" s="21" t="s">
        <v>396</v>
      </c>
      <c r="E13" s="88" t="s">
        <v>397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398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399</v>
      </c>
      <c r="C14" s="87" t="s">
        <v>852</v>
      </c>
      <c r="D14" s="21" t="s">
        <v>401</v>
      </c>
      <c r="E14" s="88" t="s">
        <v>402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403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404</v>
      </c>
      <c r="C15" s="87" t="s">
        <v>852</v>
      </c>
      <c r="D15" s="21" t="s">
        <v>406</v>
      </c>
      <c r="E15" s="88" t="s">
        <v>407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408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409</v>
      </c>
      <c r="C16" s="87" t="s">
        <v>852</v>
      </c>
      <c r="D16" s="21" t="s">
        <v>411</v>
      </c>
      <c r="E16" s="88" t="s">
        <v>412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413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COUNTA(A9:A17)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886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415</v>
      </c>
      <c r="C10" s="87" t="s">
        <v>852</v>
      </c>
      <c r="D10" s="21" t="s">
        <v>417</v>
      </c>
      <c r="E10" s="88" t="s">
        <v>418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419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420</v>
      </c>
      <c r="C11" s="87" t="s">
        <v>852</v>
      </c>
      <c r="D11" s="21" t="s">
        <v>422</v>
      </c>
      <c r="E11" s="88" t="s">
        <v>423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424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425</v>
      </c>
      <c r="C12" s="87" t="s">
        <v>852</v>
      </c>
      <c r="D12" s="21" t="s">
        <v>427</v>
      </c>
      <c r="E12" s="88" t="s">
        <v>428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429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430</v>
      </c>
      <c r="C13" s="87" t="s">
        <v>852</v>
      </c>
      <c r="D13" s="21" t="s">
        <v>432</v>
      </c>
      <c r="E13" s="88" t="s">
        <v>433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434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435</v>
      </c>
      <c r="C14" s="87" t="s">
        <v>852</v>
      </c>
      <c r="D14" s="21" t="s">
        <v>437</v>
      </c>
      <c r="E14" s="88" t="s">
        <v>861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439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862</v>
      </c>
      <c r="C15" s="87" t="s">
        <v>852</v>
      </c>
      <c r="D15" s="21" t="s">
        <v>863</v>
      </c>
      <c r="E15" s="88" t="s">
        <v>864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444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445</v>
      </c>
      <c r="C16" s="87" t="s">
        <v>852</v>
      </c>
      <c r="D16" s="21" t="s">
        <v>447</v>
      </c>
      <c r="E16" s="88" t="s">
        <v>448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449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92.4" x14ac:dyDescent="0.3">
      <c r="A17" s="89" t="str">
        <f t="shared" si="0"/>
        <v>[Shop web Winsum Testing-8]</v>
      </c>
      <c r="B17" s="87" t="s">
        <v>450</v>
      </c>
      <c r="C17" s="87" t="s">
        <v>852</v>
      </c>
      <c r="D17" s="21" t="s">
        <v>452</v>
      </c>
      <c r="E17" s="88" t="s">
        <v>453</v>
      </c>
      <c r="F17" s="138" t="s">
        <v>14</v>
      </c>
      <c r="G17" s="86">
        <v>46175</v>
      </c>
      <c r="H17" s="89" t="str">
        <f t="shared" si="1"/>
        <v>Nhóm phát triển đồ án</v>
      </c>
      <c r="I17" s="90" t="s">
        <v>454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COUNTA(A9:A17)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887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456</v>
      </c>
      <c r="C10" s="87" t="s">
        <v>457</v>
      </c>
      <c r="D10" s="21" t="s">
        <v>458</v>
      </c>
      <c r="E10" s="88" t="s">
        <v>459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460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461</v>
      </c>
      <c r="C11" s="87" t="s">
        <v>457</v>
      </c>
      <c r="D11" s="21" t="s">
        <v>463</v>
      </c>
      <c r="E11" s="88" t="s">
        <v>464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465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466</v>
      </c>
      <c r="C12" s="87" t="s">
        <v>457</v>
      </c>
      <c r="D12" s="21" t="s">
        <v>468</v>
      </c>
      <c r="E12" s="88" t="s">
        <v>865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470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471</v>
      </c>
      <c r="C13" s="87" t="s">
        <v>457</v>
      </c>
      <c r="D13" s="21" t="s">
        <v>473</v>
      </c>
      <c r="E13" s="88" t="s">
        <v>474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475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866</v>
      </c>
      <c r="C14" s="87" t="s">
        <v>457</v>
      </c>
      <c r="D14" s="21" t="s">
        <v>867</v>
      </c>
      <c r="E14" s="88" t="s">
        <v>868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480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481</v>
      </c>
      <c r="C15" s="87" t="s">
        <v>457</v>
      </c>
      <c r="D15" s="21" t="s">
        <v>483</v>
      </c>
      <c r="E15" s="88" t="s">
        <v>484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485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486</v>
      </c>
      <c r="C16" s="87" t="s">
        <v>457</v>
      </c>
      <c r="D16" s="21" t="s">
        <v>488</v>
      </c>
      <c r="E16" s="88" t="s">
        <v>489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490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92.4" x14ac:dyDescent="0.3">
      <c r="A17" s="89" t="str">
        <f t="shared" si="0"/>
        <v>[Shop web Winsum Testing-8]</v>
      </c>
      <c r="B17" s="87" t="s">
        <v>491</v>
      </c>
      <c r="C17" s="87" t="s">
        <v>457</v>
      </c>
      <c r="D17" s="21" t="s">
        <v>493</v>
      </c>
      <c r="E17" s="88" t="s">
        <v>494</v>
      </c>
      <c r="F17" s="138" t="s">
        <v>14</v>
      </c>
      <c r="G17" s="86">
        <v>46175</v>
      </c>
      <c r="H17" s="89" t="str">
        <f t="shared" si="1"/>
        <v>Nhóm phát triển đồ án</v>
      </c>
      <c r="I17" s="90" t="s">
        <v>495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COUNTA(A9:A19)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888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497</v>
      </c>
      <c r="C10" s="87" t="s">
        <v>457</v>
      </c>
      <c r="D10" s="21" t="s">
        <v>499</v>
      </c>
      <c r="E10" s="88" t="s">
        <v>500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501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502</v>
      </c>
      <c r="C11" s="87" t="s">
        <v>457</v>
      </c>
      <c r="D11" s="21" t="s">
        <v>504</v>
      </c>
      <c r="E11" s="88" t="s">
        <v>505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506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507</v>
      </c>
      <c r="C12" s="87" t="s">
        <v>457</v>
      </c>
      <c r="D12" s="21" t="s">
        <v>509</v>
      </c>
      <c r="E12" s="88" t="s">
        <v>510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511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512</v>
      </c>
      <c r="C13" s="87" t="s">
        <v>457</v>
      </c>
      <c r="D13" s="21" t="s">
        <v>514</v>
      </c>
      <c r="E13" s="88" t="s">
        <v>515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516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517</v>
      </c>
      <c r="C14" s="87" t="s">
        <v>457</v>
      </c>
      <c r="D14" s="21" t="s">
        <v>519</v>
      </c>
      <c r="E14" s="88" t="s">
        <v>520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521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522</v>
      </c>
      <c r="C15" s="87" t="s">
        <v>457</v>
      </c>
      <c r="D15" s="21" t="s">
        <v>524</v>
      </c>
      <c r="E15" s="88" t="s">
        <v>525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526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527</v>
      </c>
      <c r="C16" s="87" t="s">
        <v>457</v>
      </c>
      <c r="D16" s="21" t="s">
        <v>529</v>
      </c>
      <c r="E16" s="88" t="s">
        <v>530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531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92.4" x14ac:dyDescent="0.3">
      <c r="A17" s="89" t="str">
        <f t="shared" si="0"/>
        <v>[Shop web Winsum Testing-8]</v>
      </c>
      <c r="B17" s="87" t="s">
        <v>532</v>
      </c>
      <c r="C17" s="87" t="s">
        <v>457</v>
      </c>
      <c r="D17" s="21" t="s">
        <v>534</v>
      </c>
      <c r="E17" s="88" t="s">
        <v>535</v>
      </c>
      <c r="F17" s="138" t="s">
        <v>14</v>
      </c>
      <c r="G17" s="86">
        <v>46175</v>
      </c>
      <c r="H17" s="89" t="str">
        <f t="shared" si="1"/>
        <v>Nhóm phát triển đồ án</v>
      </c>
      <c r="I17" s="90" t="s">
        <v>536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92.4" x14ac:dyDescent="0.3">
      <c r="A18" s="89" t="str">
        <f t="shared" si="0"/>
        <v>[Shop web Winsum Testing-9]</v>
      </c>
      <c r="B18" s="87" t="s">
        <v>537</v>
      </c>
      <c r="C18" s="87" t="s">
        <v>457</v>
      </c>
      <c r="D18" s="21" t="s">
        <v>539</v>
      </c>
      <c r="E18" s="88" t="s">
        <v>540</v>
      </c>
      <c r="F18" s="138" t="s">
        <v>14</v>
      </c>
      <c r="G18" s="86">
        <v>46176</v>
      </c>
      <c r="H18" s="89" t="str">
        <f t="shared" si="1"/>
        <v>Nhóm phát triển đồ án</v>
      </c>
      <c r="I18" s="90" t="s">
        <v>541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92.4" x14ac:dyDescent="0.3">
      <c r="A19" s="89" t="str">
        <f t="shared" si="0"/>
        <v>[Shop web Winsum Testing-10]</v>
      </c>
      <c r="B19" s="87" t="s">
        <v>542</v>
      </c>
      <c r="C19" s="87" t="s">
        <v>457</v>
      </c>
      <c r="D19" s="21" t="s">
        <v>544</v>
      </c>
      <c r="E19" s="88" t="s">
        <v>545</v>
      </c>
      <c r="F19" s="138" t="s">
        <v>14</v>
      </c>
      <c r="G19" s="86">
        <v>46177</v>
      </c>
      <c r="H19" s="89" t="str">
        <f t="shared" si="1"/>
        <v>Nhóm phát triển đồ án</v>
      </c>
      <c r="I19" s="90" t="s">
        <v>546</v>
      </c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COUNTA(A9:A24)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889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268</v>
      </c>
      <c r="C10" s="87" t="s">
        <v>457</v>
      </c>
      <c r="D10" s="21" t="s">
        <v>550</v>
      </c>
      <c r="E10" s="88" t="s">
        <v>551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552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553</v>
      </c>
      <c r="C11" s="87" t="s">
        <v>457</v>
      </c>
      <c r="D11" s="21" t="s">
        <v>555</v>
      </c>
      <c r="E11" s="88" t="s">
        <v>869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557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558</v>
      </c>
      <c r="C12" s="87" t="s">
        <v>457</v>
      </c>
      <c r="D12" s="21" t="s">
        <v>560</v>
      </c>
      <c r="E12" s="88" t="s">
        <v>561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562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563</v>
      </c>
      <c r="C13" s="87" t="s">
        <v>457</v>
      </c>
      <c r="D13" s="21" t="s">
        <v>565</v>
      </c>
      <c r="E13" s="88" t="s">
        <v>566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567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870</v>
      </c>
      <c r="C14" s="87" t="s">
        <v>457</v>
      </c>
      <c r="D14" s="21" t="s">
        <v>871</v>
      </c>
      <c r="E14" s="88" t="s">
        <v>872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572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573</v>
      </c>
      <c r="C15" s="87" t="s">
        <v>457</v>
      </c>
      <c r="D15" s="21" t="s">
        <v>575</v>
      </c>
      <c r="E15" s="88" t="s">
        <v>576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577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578</v>
      </c>
      <c r="C16" s="87" t="s">
        <v>457</v>
      </c>
      <c r="D16" s="21" t="s">
        <v>580</v>
      </c>
      <c r="E16" s="88" t="s">
        <v>581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582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92.4" x14ac:dyDescent="0.3">
      <c r="A17" s="89" t="str">
        <f t="shared" si="0"/>
        <v>[Shop web Winsum Testing-8]</v>
      </c>
      <c r="B17" s="87" t="s">
        <v>583</v>
      </c>
      <c r="C17" s="87" t="s">
        <v>457</v>
      </c>
      <c r="D17" s="21" t="s">
        <v>585</v>
      </c>
      <c r="E17" s="88" t="s">
        <v>586</v>
      </c>
      <c r="F17" s="138" t="s">
        <v>14</v>
      </c>
      <c r="G17" s="86">
        <v>46175</v>
      </c>
      <c r="H17" s="89" t="str">
        <f t="shared" si="1"/>
        <v>Nhóm phát triển đồ án</v>
      </c>
      <c r="I17" s="90" t="s">
        <v>587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92.4" x14ac:dyDescent="0.3">
      <c r="A18" s="89" t="str">
        <f t="shared" si="0"/>
        <v>[Shop web Winsum Testing-9]</v>
      </c>
      <c r="B18" s="87" t="s">
        <v>588</v>
      </c>
      <c r="C18" s="87" t="s">
        <v>457</v>
      </c>
      <c r="D18" s="21" t="s">
        <v>590</v>
      </c>
      <c r="E18" s="88" t="s">
        <v>591</v>
      </c>
      <c r="F18" s="138" t="s">
        <v>14</v>
      </c>
      <c r="G18" s="86">
        <v>46176</v>
      </c>
      <c r="H18" s="89" t="str">
        <f t="shared" si="1"/>
        <v>Nhóm phát triển đồ án</v>
      </c>
      <c r="I18" s="90" t="s">
        <v>592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92.4" x14ac:dyDescent="0.3">
      <c r="A19" s="89" t="str">
        <f t="shared" si="0"/>
        <v>[Shop web Winsum Testing-10]</v>
      </c>
      <c r="B19" s="87" t="s">
        <v>593</v>
      </c>
      <c r="C19" s="87" t="s">
        <v>457</v>
      </c>
      <c r="D19" s="21" t="s">
        <v>595</v>
      </c>
      <c r="E19" s="88" t="s">
        <v>596</v>
      </c>
      <c r="F19" s="138" t="s">
        <v>14</v>
      </c>
      <c r="G19" s="86">
        <v>46177</v>
      </c>
      <c r="H19" s="89" t="str">
        <f t="shared" si="1"/>
        <v>Nhóm phát triển đồ án</v>
      </c>
      <c r="I19" s="90" t="s">
        <v>597</v>
      </c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 ht="92.4" x14ac:dyDescent="0.3">
      <c r="A20" s="89" t="str">
        <f t="shared" si="0"/>
        <v>[Shop web Winsum Testing-11]</v>
      </c>
      <c r="B20" s="87" t="s">
        <v>598</v>
      </c>
      <c r="C20" s="87" t="s">
        <v>457</v>
      </c>
      <c r="D20" s="21" t="s">
        <v>600</v>
      </c>
      <c r="E20" s="88" t="s">
        <v>601</v>
      </c>
      <c r="F20" s="138" t="s">
        <v>14</v>
      </c>
      <c r="G20" s="86">
        <v>46178</v>
      </c>
      <c r="H20" s="89" t="str">
        <f t="shared" si="1"/>
        <v>Nhóm phát triển đồ án</v>
      </c>
      <c r="I20" s="90" t="s">
        <v>602</v>
      </c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92.4" x14ac:dyDescent="0.3">
      <c r="A21" s="89" t="str">
        <f t="shared" si="0"/>
        <v>[Shop web Winsum Testing-12]</v>
      </c>
      <c r="B21" s="87" t="s">
        <v>603</v>
      </c>
      <c r="C21" s="87" t="s">
        <v>457</v>
      </c>
      <c r="D21" s="21" t="s">
        <v>605</v>
      </c>
      <c r="E21" s="88" t="s">
        <v>606</v>
      </c>
      <c r="F21" s="138" t="s">
        <v>14</v>
      </c>
      <c r="G21" s="86">
        <v>46179</v>
      </c>
      <c r="H21" s="89" t="str">
        <f t="shared" si="1"/>
        <v>Nhóm phát triển đồ án</v>
      </c>
      <c r="I21" s="90" t="s">
        <v>607</v>
      </c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92.4" x14ac:dyDescent="0.3">
      <c r="A22" s="89" t="str">
        <f t="shared" si="0"/>
        <v>[Shop web Winsum Testing-13]</v>
      </c>
      <c r="B22" s="87" t="s">
        <v>608</v>
      </c>
      <c r="C22" s="87" t="s">
        <v>457</v>
      </c>
      <c r="D22" s="21" t="s">
        <v>610</v>
      </c>
      <c r="E22" s="88" t="s">
        <v>611</v>
      </c>
      <c r="F22" s="138" t="s">
        <v>14</v>
      </c>
      <c r="G22" s="86">
        <v>46180</v>
      </c>
      <c r="H22" s="89" t="str">
        <f t="shared" si="1"/>
        <v>Nhóm phát triển đồ án</v>
      </c>
      <c r="I22" s="90" t="s">
        <v>612</v>
      </c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92.4" x14ac:dyDescent="0.3">
      <c r="A23" s="89" t="str">
        <f t="shared" si="0"/>
        <v>[Shop web Winsum Testing-14]</v>
      </c>
      <c r="B23" s="87" t="s">
        <v>873</v>
      </c>
      <c r="C23" s="87" t="s">
        <v>457</v>
      </c>
      <c r="D23" s="21" t="s">
        <v>874</v>
      </c>
      <c r="E23" s="88" t="s">
        <v>875</v>
      </c>
      <c r="F23" s="138" t="s">
        <v>14</v>
      </c>
      <c r="G23" s="86">
        <v>46181</v>
      </c>
      <c r="H23" s="89" t="str">
        <f t="shared" si="1"/>
        <v>Nhóm phát triển đồ án</v>
      </c>
      <c r="I23" s="90" t="s">
        <v>617</v>
      </c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 ht="92.4" x14ac:dyDescent="0.3">
      <c r="A24" s="89" t="str">
        <f t="shared" si="0"/>
        <v>[Shop web Winsum Testing-15]</v>
      </c>
      <c r="B24" s="87" t="s">
        <v>618</v>
      </c>
      <c r="C24" s="87" t="s">
        <v>457</v>
      </c>
      <c r="D24" s="21" t="s">
        <v>620</v>
      </c>
      <c r="E24" s="88" t="s">
        <v>621</v>
      </c>
      <c r="F24" s="138" t="s">
        <v>14</v>
      </c>
      <c r="G24" s="86">
        <v>46182</v>
      </c>
      <c r="H24" s="89" t="str">
        <f t="shared" si="1"/>
        <v>Nhóm phát triển đồ án</v>
      </c>
      <c r="I24" s="90" t="s">
        <v>622</v>
      </c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COUNTA(A9:A23)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890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624</v>
      </c>
      <c r="C10" s="87" t="s">
        <v>457</v>
      </c>
      <c r="D10" s="21" t="s">
        <v>626</v>
      </c>
      <c r="E10" s="88" t="s">
        <v>627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628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629</v>
      </c>
      <c r="C11" s="87" t="s">
        <v>457</v>
      </c>
      <c r="D11" s="21" t="s">
        <v>631</v>
      </c>
      <c r="E11" s="88" t="s">
        <v>632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633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634</v>
      </c>
      <c r="C12" s="87" t="s">
        <v>457</v>
      </c>
      <c r="D12" s="21" t="s">
        <v>636</v>
      </c>
      <c r="E12" s="88" t="s">
        <v>637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638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639</v>
      </c>
      <c r="C13" s="87" t="s">
        <v>457</v>
      </c>
      <c r="D13" s="21" t="s">
        <v>641</v>
      </c>
      <c r="E13" s="88" t="s">
        <v>642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643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644</v>
      </c>
      <c r="C14" s="87" t="s">
        <v>457</v>
      </c>
      <c r="D14" s="21" t="s">
        <v>646</v>
      </c>
      <c r="E14" s="88" t="s">
        <v>647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648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876</v>
      </c>
      <c r="C15" s="87" t="s">
        <v>457</v>
      </c>
      <c r="D15" s="21" t="s">
        <v>877</v>
      </c>
      <c r="E15" s="88" t="s">
        <v>878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653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654</v>
      </c>
      <c r="C16" s="87" t="s">
        <v>457</v>
      </c>
      <c r="D16" s="21" t="s">
        <v>656</v>
      </c>
      <c r="E16" s="88" t="s">
        <v>657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658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92.4" x14ac:dyDescent="0.3">
      <c r="A17" s="89" t="str">
        <f t="shared" si="0"/>
        <v>[Shop web Winsum Testing-8]</v>
      </c>
      <c r="B17" s="87" t="s">
        <v>659</v>
      </c>
      <c r="C17" s="87" t="s">
        <v>457</v>
      </c>
      <c r="D17" s="21" t="s">
        <v>661</v>
      </c>
      <c r="E17" s="88" t="s">
        <v>662</v>
      </c>
      <c r="F17" s="138" t="s">
        <v>14</v>
      </c>
      <c r="G17" s="86">
        <v>46175</v>
      </c>
      <c r="H17" s="89" t="str">
        <f t="shared" si="1"/>
        <v>Nhóm phát triển đồ án</v>
      </c>
      <c r="I17" s="90" t="s">
        <v>663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92.4" x14ac:dyDescent="0.3">
      <c r="A18" s="89" t="str">
        <f t="shared" si="0"/>
        <v>[Shop web Winsum Testing-9]</v>
      </c>
      <c r="B18" s="87" t="s">
        <v>664</v>
      </c>
      <c r="C18" s="87" t="s">
        <v>457</v>
      </c>
      <c r="D18" s="21" t="s">
        <v>666</v>
      </c>
      <c r="E18" s="88" t="s">
        <v>667</v>
      </c>
      <c r="F18" s="138" t="s">
        <v>14</v>
      </c>
      <c r="G18" s="86">
        <v>46176</v>
      </c>
      <c r="H18" s="89" t="str">
        <f t="shared" si="1"/>
        <v>Nhóm phát triển đồ án</v>
      </c>
      <c r="I18" s="90" t="s">
        <v>668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92.4" x14ac:dyDescent="0.3">
      <c r="A19" s="89" t="str">
        <f t="shared" si="0"/>
        <v>[Shop web Winsum Testing-10]</v>
      </c>
      <c r="B19" s="87" t="s">
        <v>669</v>
      </c>
      <c r="C19" s="87" t="s">
        <v>457</v>
      </c>
      <c r="D19" s="21" t="s">
        <v>671</v>
      </c>
      <c r="E19" s="88" t="s">
        <v>672</v>
      </c>
      <c r="F19" s="138" t="s">
        <v>14</v>
      </c>
      <c r="G19" s="86">
        <v>46177</v>
      </c>
      <c r="H19" s="89" t="str">
        <f t="shared" si="1"/>
        <v>Nhóm phát triển đồ án</v>
      </c>
      <c r="I19" s="90" t="s">
        <v>673</v>
      </c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 ht="92.4" x14ac:dyDescent="0.3">
      <c r="A20" s="89" t="str">
        <f t="shared" si="0"/>
        <v>[Shop web Winsum Testing-11]</v>
      </c>
      <c r="B20" s="87" t="s">
        <v>674</v>
      </c>
      <c r="C20" s="87" t="s">
        <v>457</v>
      </c>
      <c r="D20" s="21" t="s">
        <v>676</v>
      </c>
      <c r="E20" s="88" t="s">
        <v>677</v>
      </c>
      <c r="F20" s="138" t="s">
        <v>14</v>
      </c>
      <c r="G20" s="86">
        <v>46178</v>
      </c>
      <c r="H20" s="89" t="str">
        <f t="shared" si="1"/>
        <v>Nhóm phát triển đồ án</v>
      </c>
      <c r="I20" s="90" t="s">
        <v>678</v>
      </c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92.4" x14ac:dyDescent="0.3">
      <c r="A21" s="89" t="str">
        <f t="shared" si="0"/>
        <v>[Shop web Winsum Testing-12]</v>
      </c>
      <c r="B21" s="87" t="s">
        <v>679</v>
      </c>
      <c r="C21" s="87" t="s">
        <v>457</v>
      </c>
      <c r="D21" s="21" t="s">
        <v>681</v>
      </c>
      <c r="E21" s="88" t="s">
        <v>682</v>
      </c>
      <c r="F21" s="138" t="s">
        <v>14</v>
      </c>
      <c r="G21" s="86">
        <v>46179</v>
      </c>
      <c r="H21" s="89" t="str">
        <f t="shared" si="1"/>
        <v>Nhóm phát triển đồ án</v>
      </c>
      <c r="I21" s="90" t="s">
        <v>683</v>
      </c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92.4" x14ac:dyDescent="0.3">
      <c r="A22" s="89" t="str">
        <f t="shared" si="0"/>
        <v>[Shop web Winsum Testing-13]</v>
      </c>
      <c r="B22" s="87" t="s">
        <v>684</v>
      </c>
      <c r="C22" s="87" t="s">
        <v>457</v>
      </c>
      <c r="D22" s="21" t="s">
        <v>686</v>
      </c>
      <c r="E22" s="88" t="s">
        <v>687</v>
      </c>
      <c r="F22" s="138" t="s">
        <v>14</v>
      </c>
      <c r="G22" s="86">
        <v>46180</v>
      </c>
      <c r="H22" s="89" t="str">
        <f t="shared" si="1"/>
        <v>Nhóm phát triển đồ án</v>
      </c>
      <c r="I22" s="90" t="s">
        <v>688</v>
      </c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92.4" x14ac:dyDescent="0.3">
      <c r="A23" s="89" t="str">
        <f t="shared" si="0"/>
        <v>[Shop web Winsum Testing-14]</v>
      </c>
      <c r="B23" s="87" t="s">
        <v>689</v>
      </c>
      <c r="C23" s="87" t="s">
        <v>457</v>
      </c>
      <c r="D23" s="21" t="s">
        <v>691</v>
      </c>
      <c r="E23" s="88" t="s">
        <v>692</v>
      </c>
      <c r="F23" s="138" t="s">
        <v>14</v>
      </c>
      <c r="G23" s="86">
        <v>46181</v>
      </c>
      <c r="H23" s="89" t="str">
        <f t="shared" si="1"/>
        <v>Nhóm phát triển đồ án</v>
      </c>
      <c r="I23" s="90" t="s">
        <v>693</v>
      </c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COUNTA(A9:A16)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891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695</v>
      </c>
      <c r="C10" s="87" t="s">
        <v>852</v>
      </c>
      <c r="D10" s="21" t="s">
        <v>697</v>
      </c>
      <c r="E10" s="88" t="s">
        <v>698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699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700</v>
      </c>
      <c r="C11" s="87" t="s">
        <v>852</v>
      </c>
      <c r="D11" s="21" t="s">
        <v>702</v>
      </c>
      <c r="E11" s="88" t="s">
        <v>703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704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705</v>
      </c>
      <c r="C12" s="87" t="s">
        <v>852</v>
      </c>
      <c r="D12" s="21" t="s">
        <v>707</v>
      </c>
      <c r="E12" s="88" t="s">
        <v>708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709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710</v>
      </c>
      <c r="C13" s="87" t="s">
        <v>852</v>
      </c>
      <c r="D13" s="21" t="s">
        <v>712</v>
      </c>
      <c r="E13" s="88" t="s">
        <v>713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714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715</v>
      </c>
      <c r="C14" s="87" t="s">
        <v>852</v>
      </c>
      <c r="D14" s="21" t="s">
        <v>717</v>
      </c>
      <c r="E14" s="88" t="s">
        <v>718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719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720</v>
      </c>
      <c r="C15" s="87" t="s">
        <v>852</v>
      </c>
      <c r="D15" s="21" t="s">
        <v>722</v>
      </c>
      <c r="E15" s="88" t="s">
        <v>723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724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725</v>
      </c>
      <c r="C16" s="87" t="s">
        <v>852</v>
      </c>
      <c r="D16" s="21" t="s">
        <v>727</v>
      </c>
      <c r="E16" s="88" t="s">
        <v>728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729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COUNTA(A9:A18)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892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731</v>
      </c>
      <c r="C10" s="87" t="s">
        <v>852</v>
      </c>
      <c r="D10" s="21" t="s">
        <v>733</v>
      </c>
      <c r="E10" s="88" t="s">
        <v>734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735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736</v>
      </c>
      <c r="C11" s="87" t="s">
        <v>852</v>
      </c>
      <c r="D11" s="21" t="s">
        <v>738</v>
      </c>
      <c r="E11" s="88" t="s">
        <v>739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740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741</v>
      </c>
      <c r="C12" s="87" t="s">
        <v>852</v>
      </c>
      <c r="D12" s="21" t="s">
        <v>743</v>
      </c>
      <c r="E12" s="88" t="s">
        <v>744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745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746</v>
      </c>
      <c r="C13" s="87" t="s">
        <v>852</v>
      </c>
      <c r="D13" s="21" t="s">
        <v>748</v>
      </c>
      <c r="E13" s="88" t="s">
        <v>749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750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751</v>
      </c>
      <c r="C14" s="87" t="s">
        <v>852</v>
      </c>
      <c r="D14" s="21" t="s">
        <v>753</v>
      </c>
      <c r="E14" s="88" t="s">
        <v>754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755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756</v>
      </c>
      <c r="C15" s="87" t="s">
        <v>852</v>
      </c>
      <c r="D15" s="21" t="s">
        <v>758</v>
      </c>
      <c r="E15" s="88" t="s">
        <v>759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760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761</v>
      </c>
      <c r="C16" s="87" t="s">
        <v>852</v>
      </c>
      <c r="D16" s="21" t="s">
        <v>763</v>
      </c>
      <c r="E16" s="88" t="s">
        <v>764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765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92.4" x14ac:dyDescent="0.3">
      <c r="A17" s="89" t="str">
        <f t="shared" si="0"/>
        <v>[Shop web Winsum Testing-8]</v>
      </c>
      <c r="B17" s="87" t="s">
        <v>766</v>
      </c>
      <c r="C17" s="87" t="s">
        <v>852</v>
      </c>
      <c r="D17" s="21" t="s">
        <v>768</v>
      </c>
      <c r="E17" s="88" t="s">
        <v>769</v>
      </c>
      <c r="F17" s="138" t="s">
        <v>14</v>
      </c>
      <c r="G17" s="86">
        <v>46175</v>
      </c>
      <c r="H17" s="89" t="str">
        <f t="shared" si="1"/>
        <v>Nhóm phát triển đồ án</v>
      </c>
      <c r="I17" s="90" t="s">
        <v>770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92.4" x14ac:dyDescent="0.3">
      <c r="A18" s="89" t="str">
        <f t="shared" si="0"/>
        <v>[Shop web Winsum Testing-9]</v>
      </c>
      <c r="B18" s="87" t="s">
        <v>771</v>
      </c>
      <c r="C18" s="87" t="s">
        <v>852</v>
      </c>
      <c r="D18" s="21" t="s">
        <v>773</v>
      </c>
      <c r="E18" s="88" t="s">
        <v>774</v>
      </c>
      <c r="F18" s="138" t="s">
        <v>14</v>
      </c>
      <c r="G18" s="86">
        <v>46176</v>
      </c>
      <c r="H18" s="89" t="str">
        <f t="shared" si="1"/>
        <v>Nhóm phát triển đồ án</v>
      </c>
      <c r="I18" s="90" t="s">
        <v>775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5"/>
  </sheetPr>
  <dimension ref="A1:Z49"/>
  <sheetViews>
    <sheetView tabSelected="1" topLeftCell="A61" zoomScaleNormal="100" workbookViewId="0">
      <selection activeCell="G134" sqref="G134"/>
    </sheetView>
  </sheetViews>
  <sheetFormatPr defaultColWidth="14.42578125" defaultRowHeight="15" customHeight="1" x14ac:dyDescent="0.25"/>
  <cols>
    <col min="1" max="1" width="13.42578125" customWidth="1"/>
    <col min="2" max="2" width="29.85546875" customWidth="1"/>
    <col min="3" max="3" width="19.140625" customWidth="1"/>
    <col min="4" max="4" width="31.7109375" customWidth="1"/>
    <col min="5" max="5" width="26.85546875" customWidth="1"/>
    <col min="6" max="6" width="13.7109375" customWidth="1"/>
    <col min="7" max="8" width="17.140625" customWidth="1"/>
    <col min="9" max="9" width="17.85546875" customWidth="1"/>
    <col min="10" max="10" width="66.5703125" customWidth="1"/>
    <col min="11" max="26" width="8.7109375" customWidth="1"/>
  </cols>
  <sheetData>
    <row r="1" spans="1:26" ht="14.25" customHeight="1" x14ac:dyDescent="0.25">
      <c r="A1" s="26" t="s">
        <v>19</v>
      </c>
      <c r="B1" s="65" t="s">
        <v>31</v>
      </c>
      <c r="C1" s="66"/>
      <c r="D1" s="66"/>
      <c r="E1" s="67"/>
      <c r="F1" s="27"/>
      <c r="G1" s="28"/>
      <c r="H1" s="28"/>
      <c r="I1" s="29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1" t="s">
        <v>20</v>
      </c>
      <c r="B2" s="68" t="s">
        <v>21</v>
      </c>
      <c r="C2" s="66"/>
      <c r="D2" s="66"/>
      <c r="E2" s="69"/>
      <c r="F2" s="32"/>
      <c r="G2" s="33"/>
      <c r="H2" s="33"/>
      <c r="I2" s="29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26" t="s">
        <v>22</v>
      </c>
      <c r="B3" s="151" t="s">
        <v>32</v>
      </c>
      <c r="C3" s="66"/>
      <c r="D3" s="66"/>
      <c r="E3" s="69"/>
      <c r="F3" s="32"/>
      <c r="G3" s="33"/>
      <c r="H3" s="33"/>
      <c r="I3" s="29"/>
      <c r="J3" s="3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5" t="s">
        <v>14</v>
      </c>
      <c r="B4" s="36" t="s">
        <v>15</v>
      </c>
      <c r="C4" s="36" t="s">
        <v>16</v>
      </c>
      <c r="D4" s="37" t="s">
        <v>17</v>
      </c>
      <c r="E4" s="36" t="s">
        <v>23</v>
      </c>
      <c r="F4" s="38"/>
      <c r="G4" s="38"/>
      <c r="H4" s="38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9">
        <f>COUNTIF(F:F,"Pass")</f>
      </c>
      <c r="B5" s="40">
        <f>COUNTIF(F:F,"Fail")</f>
      </c>
      <c r="C5" s="40">
        <f>COUNTIF(F:F,"Untested")</f>
      </c>
      <c r="D5" s="41">
        <f>COUNTIF(F:F,"N/A")</f>
      </c>
      <c r="E5" s="40">
        <f>COUNTA(A9:A24)</f>
      </c>
      <c r="F5" s="38"/>
      <c r="G5" s="38"/>
      <c r="H5" s="38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42" t="s">
        <v>18</v>
      </c>
      <c r="B6" s="43" t="s">
        <v>18</v>
      </c>
      <c r="C6" s="43" t="s">
        <v>18</v>
      </c>
      <c r="D6" s="44" t="s">
        <v>18</v>
      </c>
      <c r="E6" s="43"/>
      <c r="F6" s="38"/>
      <c r="G6" s="38"/>
      <c r="H6" s="3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thickBot="1" x14ac:dyDescent="0.3">
      <c r="A7" s="45"/>
      <c r="B7" s="46"/>
      <c r="C7" s="47"/>
      <c r="D7" s="48"/>
      <c r="E7" s="47"/>
      <c r="F7" s="49"/>
      <c r="G7" s="49"/>
      <c r="H7" s="5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51" t="s">
        <v>24</v>
      </c>
      <c r="B8" s="51" t="s">
        <v>25</v>
      </c>
      <c r="C8" s="51" t="s">
        <v>26</v>
      </c>
      <c r="D8" s="51" t="s">
        <v>27</v>
      </c>
      <c r="E8" s="51" t="s">
        <v>28</v>
      </c>
      <c r="F8" s="52" t="s">
        <v>29</v>
      </c>
      <c r="G8" s="52" t="s">
        <v>30</v>
      </c>
      <c r="H8" s="52" t="s">
        <v>22</v>
      </c>
      <c r="I8" s="53" t="s">
        <v>13</v>
      </c>
      <c r="J8" s="54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3">
      <c r="A9" s="81"/>
      <c r="B9" s="81" t="s">
        <v>893</v>
      </c>
      <c r="C9" s="82"/>
      <c r="D9" s="82"/>
      <c r="E9" s="82"/>
      <c r="F9" s="82"/>
      <c r="G9" s="86">
        <v>46167</v>
      </c>
      <c r="H9" s="89" t="str">
        <f>B3</f>
        <v>Nhóm phát triển đồ án</v>
      </c>
      <c r="I9" s="84"/>
      <c r="J9" s="8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92.4" x14ac:dyDescent="0.3">
      <c r="A10" s="86" t="str">
        <f t="shared" ref="A10:A500" si="0">IF(AND(E10=""),"","["&amp;TEXT($B$1,"##")&amp;"-"&amp;TEXT(ROW()-9-COUNTBLANK($E$8:E9)+1,"##")&amp;"]")</f>
        <v>[Shop web Winsum Testing-1]</v>
      </c>
      <c r="B10" s="87" t="s">
        <v>777</v>
      </c>
      <c r="C10" s="87" t="s">
        <v>778</v>
      </c>
      <c r="D10" s="21" t="s">
        <v>779</v>
      </c>
      <c r="E10" s="88" t="s">
        <v>780</v>
      </c>
      <c r="F10" s="138" t="s">
        <v>14</v>
      </c>
      <c r="G10" s="86">
        <v>46168</v>
      </c>
      <c r="H10" s="89" t="str">
        <f t="shared" ref="H10:H500" si="1">$B$3</f>
        <v>Nhóm phát triển đồ án</v>
      </c>
      <c r="I10" s="90" t="s">
        <v>781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92.4" x14ac:dyDescent="0.3">
      <c r="A11" s="89" t="str">
        <f t="shared" si="0"/>
        <v>[Shop web Winsum Testing-2]</v>
      </c>
      <c r="B11" s="87" t="s">
        <v>782</v>
      </c>
      <c r="C11" s="87" t="s">
        <v>778</v>
      </c>
      <c r="D11" s="21" t="s">
        <v>784</v>
      </c>
      <c r="E11" s="88" t="s">
        <v>785</v>
      </c>
      <c r="F11" s="138" t="s">
        <v>14</v>
      </c>
      <c r="G11" s="86">
        <v>46169</v>
      </c>
      <c r="H11" s="89" t="str">
        <f t="shared" si="1"/>
        <v>Nhóm phát triển đồ án</v>
      </c>
      <c r="I11" s="90" t="s">
        <v>786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92.4" x14ac:dyDescent="0.3">
      <c r="A12" s="89" t="str">
        <f t="shared" si="0"/>
        <v>[Shop web Winsum Testing-3]</v>
      </c>
      <c r="B12" s="87" t="s">
        <v>787</v>
      </c>
      <c r="C12" s="87" t="s">
        <v>778</v>
      </c>
      <c r="D12" s="21" t="s">
        <v>789</v>
      </c>
      <c r="E12" s="88" t="s">
        <v>790</v>
      </c>
      <c r="F12" s="138" t="s">
        <v>14</v>
      </c>
      <c r="G12" s="86">
        <v>46170</v>
      </c>
      <c r="H12" s="89" t="str">
        <f t="shared" si="1"/>
        <v>Nhóm phát triển đồ án</v>
      </c>
      <c r="I12" s="90" t="s">
        <v>791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92.4" x14ac:dyDescent="0.3">
      <c r="A13" s="89" t="str">
        <f t="shared" si="0"/>
        <v>[Shop web Winsum Testing-4]</v>
      </c>
      <c r="B13" s="87" t="s">
        <v>792</v>
      </c>
      <c r="C13" s="87" t="s">
        <v>778</v>
      </c>
      <c r="D13" s="21" t="s">
        <v>794</v>
      </c>
      <c r="E13" s="88" t="s">
        <v>795</v>
      </c>
      <c r="F13" s="138" t="s">
        <v>14</v>
      </c>
      <c r="G13" s="86">
        <v>46171</v>
      </c>
      <c r="H13" s="89" t="str">
        <f t="shared" si="1"/>
        <v>Nhóm phát triển đồ án</v>
      </c>
      <c r="I13" s="90" t="s">
        <v>796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92.4" x14ac:dyDescent="0.3">
      <c r="A14" s="89" t="str">
        <f t="shared" si="0"/>
        <v>[Shop web Winsum Testing-5]</v>
      </c>
      <c r="B14" s="87" t="s">
        <v>797</v>
      </c>
      <c r="C14" s="87" t="s">
        <v>778</v>
      </c>
      <c r="D14" s="21" t="s">
        <v>799</v>
      </c>
      <c r="E14" s="88" t="s">
        <v>800</v>
      </c>
      <c r="F14" s="138" t="s">
        <v>14</v>
      </c>
      <c r="G14" s="86">
        <v>46172</v>
      </c>
      <c r="H14" s="89" t="str">
        <f t="shared" si="1"/>
        <v>Nhóm phát triển đồ án</v>
      </c>
      <c r="I14" s="90" t="s">
        <v>801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92.4" x14ac:dyDescent="0.3">
      <c r="A15" s="89" t="str">
        <f t="shared" si="0"/>
        <v>[Shop web Winsum Testing-6]</v>
      </c>
      <c r="B15" s="87" t="s">
        <v>802</v>
      </c>
      <c r="C15" s="87" t="s">
        <v>778</v>
      </c>
      <c r="D15" s="21" t="s">
        <v>804</v>
      </c>
      <c r="E15" s="88" t="s">
        <v>805</v>
      </c>
      <c r="F15" s="138" t="s">
        <v>14</v>
      </c>
      <c r="G15" s="86">
        <v>46173</v>
      </c>
      <c r="H15" s="89" t="str">
        <f t="shared" si="1"/>
        <v>Nhóm phát triển đồ án</v>
      </c>
      <c r="I15" s="90" t="s">
        <v>806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92.4" x14ac:dyDescent="0.3">
      <c r="A16" s="89" t="str">
        <f t="shared" si="0"/>
        <v>[Shop web Winsum Testing-7]</v>
      </c>
      <c r="B16" s="87" t="s">
        <v>879</v>
      </c>
      <c r="C16" s="87" t="s">
        <v>778</v>
      </c>
      <c r="D16" s="21" t="s">
        <v>880</v>
      </c>
      <c r="E16" s="88" t="s">
        <v>810</v>
      </c>
      <c r="F16" s="138" t="s">
        <v>14</v>
      </c>
      <c r="G16" s="86">
        <v>46174</v>
      </c>
      <c r="H16" s="89" t="str">
        <f t="shared" si="1"/>
        <v>Nhóm phát triển đồ án</v>
      </c>
      <c r="I16" s="90" t="s">
        <v>811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92.4" x14ac:dyDescent="0.3">
      <c r="A17" s="89" t="str">
        <f t="shared" si="0"/>
        <v>[Shop web Winsum Testing-8]</v>
      </c>
      <c r="B17" s="87" t="s">
        <v>812</v>
      </c>
      <c r="C17" s="87" t="s">
        <v>778</v>
      </c>
      <c r="D17" s="21" t="s">
        <v>814</v>
      </c>
      <c r="E17" s="88" t="s">
        <v>815</v>
      </c>
      <c r="F17" s="138" t="s">
        <v>14</v>
      </c>
      <c r="G17" s="86">
        <v>46175</v>
      </c>
      <c r="H17" s="89" t="str">
        <f t="shared" si="1"/>
        <v>Nhóm phát triển đồ án</v>
      </c>
      <c r="I17" s="90" t="s">
        <v>816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92.4" x14ac:dyDescent="0.3">
      <c r="A18" s="89" t="str">
        <f t="shared" si="0"/>
        <v>[Shop web Winsum Testing-9]</v>
      </c>
      <c r="B18" s="87" t="s">
        <v>817</v>
      </c>
      <c r="C18" s="87" t="s">
        <v>778</v>
      </c>
      <c r="D18" s="21" t="s">
        <v>819</v>
      </c>
      <c r="E18" s="88" t="s">
        <v>820</v>
      </c>
      <c r="F18" s="138" t="s">
        <v>14</v>
      </c>
      <c r="G18" s="86">
        <v>46176</v>
      </c>
      <c r="H18" s="89" t="str">
        <f t="shared" si="1"/>
        <v>Nhóm phát triển đồ án</v>
      </c>
      <c r="I18" s="90" t="s">
        <v>821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92.4" x14ac:dyDescent="0.3">
      <c r="A19" s="89" t="str">
        <f t="shared" si="0"/>
        <v>[Shop web Winsum Testing-10]</v>
      </c>
      <c r="B19" s="87" t="s">
        <v>822</v>
      </c>
      <c r="C19" s="87" t="s">
        <v>778</v>
      </c>
      <c r="D19" s="21" t="s">
        <v>824</v>
      </c>
      <c r="E19" s="88" t="s">
        <v>825</v>
      </c>
      <c r="F19" s="138" t="s">
        <v>14</v>
      </c>
      <c r="G19" s="86">
        <v>46177</v>
      </c>
      <c r="H19" s="89" t="str">
        <f t="shared" si="1"/>
        <v>Nhóm phát triển đồ án</v>
      </c>
      <c r="I19" s="90" t="s">
        <v>826</v>
      </c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 ht="92.4" x14ac:dyDescent="0.3">
      <c r="A20" s="89" t="str">
        <f t="shared" si="0"/>
        <v>[Shop web Winsum Testing-11]</v>
      </c>
      <c r="B20" s="87" t="s">
        <v>827</v>
      </c>
      <c r="C20" s="87" t="s">
        <v>778</v>
      </c>
      <c r="D20" s="21" t="s">
        <v>829</v>
      </c>
      <c r="E20" s="88" t="s">
        <v>830</v>
      </c>
      <c r="F20" s="138" t="s">
        <v>14</v>
      </c>
      <c r="G20" s="86">
        <v>46178</v>
      </c>
      <c r="H20" s="89" t="str">
        <f t="shared" si="1"/>
        <v>Nhóm phát triển đồ án</v>
      </c>
      <c r="I20" s="90" t="s">
        <v>831</v>
      </c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92.4" x14ac:dyDescent="0.3">
      <c r="A21" s="89" t="str">
        <f t="shared" si="0"/>
        <v>[Shop web Winsum Testing-12]</v>
      </c>
      <c r="B21" s="87" t="s">
        <v>832</v>
      </c>
      <c r="C21" s="87" t="s">
        <v>778</v>
      </c>
      <c r="D21" s="21" t="s">
        <v>834</v>
      </c>
      <c r="E21" s="88" t="s">
        <v>835</v>
      </c>
      <c r="F21" s="138" t="s">
        <v>14</v>
      </c>
      <c r="G21" s="86">
        <v>46179</v>
      </c>
      <c r="H21" s="89" t="str">
        <f t="shared" si="1"/>
        <v>Nhóm phát triển đồ án</v>
      </c>
      <c r="I21" s="90" t="s">
        <v>836</v>
      </c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92.4" x14ac:dyDescent="0.3">
      <c r="A22" s="89" t="str">
        <f t="shared" si="0"/>
        <v>[Shop web Winsum Testing-13]</v>
      </c>
      <c r="B22" s="87" t="s">
        <v>837</v>
      </c>
      <c r="C22" s="87" t="s">
        <v>778</v>
      </c>
      <c r="D22" s="21" t="s">
        <v>839</v>
      </c>
      <c r="E22" s="88" t="s">
        <v>840</v>
      </c>
      <c r="F22" s="138" t="s">
        <v>14</v>
      </c>
      <c r="G22" s="86">
        <v>46180</v>
      </c>
      <c r="H22" s="89" t="str">
        <f t="shared" si="1"/>
        <v>Nhóm phát triển đồ án</v>
      </c>
      <c r="I22" s="90" t="s">
        <v>841</v>
      </c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92.4" x14ac:dyDescent="0.3">
      <c r="A23" s="89" t="str">
        <f t="shared" si="0"/>
        <v>[Shop web Winsum Testing-14]</v>
      </c>
      <c r="B23" s="87" t="s">
        <v>842</v>
      </c>
      <c r="C23" s="87" t="s">
        <v>778</v>
      </c>
      <c r="D23" s="21" t="s">
        <v>844</v>
      </c>
      <c r="E23" s="88" t="s">
        <v>845</v>
      </c>
      <c r="F23" s="138" t="s">
        <v>14</v>
      </c>
      <c r="G23" s="86">
        <v>46181</v>
      </c>
      <c r="H23" s="89" t="str">
        <f t="shared" si="1"/>
        <v>Nhóm phát triển đồ án</v>
      </c>
      <c r="I23" s="90" t="s">
        <v>846</v>
      </c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 ht="92.4" x14ac:dyDescent="0.3">
      <c r="A24" s="89" t="str">
        <f t="shared" si="0"/>
        <v>[Shop web Winsum Testing-15]</v>
      </c>
      <c r="B24" s="87" t="s">
        <v>847</v>
      </c>
      <c r="C24" s="87" t="s">
        <v>778</v>
      </c>
      <c r="D24" s="21" t="s">
        <v>849</v>
      </c>
      <c r="E24" s="88" t="s">
        <v>850</v>
      </c>
      <c r="F24" s="138" t="s">
        <v>14</v>
      </c>
      <c r="G24" s="86">
        <v>46182</v>
      </c>
      <c r="H24" s="89" t="str">
        <f t="shared" si="1"/>
        <v>Nhóm phát triển đồ án</v>
      </c>
      <c r="I24" s="90" t="s">
        <v>851</v>
      </c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</sheetData>
  <autoFilter ref="A8:I16" xr:uid="{00000000-0009-0000-0000-000003000000}"/>
  <mergeCells count="3">
    <mergeCell ref="B1:E1"/>
    <mergeCell ref="B2:E2"/>
    <mergeCell ref="B3:E3"/>
  </mergeCells>
  <phoneticPr fontId="17" type="noConversion"/>
  <dataValidations count="1">
    <dataValidation type="list" allowBlank="1" showErrorMessage="1" sqref="F1:H2" xr:uid="{00000000-0002-0000-0300-000001000000}">
      <formula1>$J$1:$J$5</formula1>
    </dataValidation>
  </dataValidations>
  <pageMargins left="0.7" right="0.7" top="0.75" bottom="0.75" header="0" footer="0"/>
  <pageSetup scale="2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Import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Thi Khanh (FSU1.BU2)</dc:creator>
  <cp:lastModifiedBy>Lam Nguyen</cp:lastModifiedBy>
  <dcterms:created xsi:type="dcterms:W3CDTF">2019-04-08T09:14:46Z</dcterms:created>
  <dcterms:modified xsi:type="dcterms:W3CDTF">2026-06-11T07:10:36Z</dcterms:modified>
</cp:coreProperties>
</file>